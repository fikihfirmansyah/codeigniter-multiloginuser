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7A2D7E96-6E34-419A-AE5F-296B3A7E7977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AEACC2FB-23C0-49C2-8C69-294B6F3B5AD0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DASHBOARD" sheetId="2" r:id="rId1"/>
    <sheet name="RANGKING" sheetId="15" r:id="rId2"/>
    <sheet name="DATA" sheetId="1" r:id="rId3"/>
    <sheet name="LEDGER" sheetId="3" r:id="rId4"/>
    <sheet name="Sheet1" sheetId="16" state="hidden" r:id="rId5"/>
    <sheet name="RAPORT" sheetId="19" r:id="rId6"/>
  </sheets>
  <externalReferences>
    <externalReference r:id="rId7"/>
    <externalReference r:id="rId8"/>
  </externalReferences>
  <calcPr calcId="181029"/>
</workbook>
</file>

<file path=xl/calcChain.xml><?xml version="1.0" encoding="utf-8"?>
<calcChain xmlns="http://schemas.openxmlformats.org/spreadsheetml/2006/main">
  <c r="I17" i="3" l="1"/>
  <c r="I15" i="3"/>
  <c r="E5" i="3"/>
  <c r="E3" i="3"/>
  <c r="E19" i="3"/>
  <c r="D17" i="3"/>
  <c r="D10" i="3"/>
  <c r="C14" i="19" l="1"/>
  <c r="I4" i="3" l="1"/>
  <c r="I5" i="3"/>
  <c r="I6" i="3"/>
  <c r="I19" i="3"/>
  <c r="K4" i="3" l="1"/>
  <c r="Q4" i="3"/>
  <c r="N4" i="3" l="1"/>
  <c r="F6" i="15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F17" i="15" s="1"/>
  <c r="F18" i="15" s="1"/>
  <c r="F19" i="15" s="1"/>
  <c r="F20" i="15" s="1"/>
  <c r="F21" i="15" s="1"/>
  <c r="I3" i="3" l="1"/>
  <c r="G18" i="16" l="1"/>
  <c r="G17" i="16"/>
  <c r="G14" i="16"/>
  <c r="E8" i="16"/>
  <c r="D21" i="19" l="1"/>
  <c r="I16" i="3"/>
  <c r="I12" i="3"/>
  <c r="H3" i="1"/>
  <c r="D25" i="19" l="1"/>
  <c r="E19" i="19"/>
  <c r="D23" i="19"/>
  <c r="D27" i="19"/>
  <c r="D35" i="19"/>
  <c r="I13" i="3"/>
  <c r="I11" i="3"/>
  <c r="I7" i="3"/>
  <c r="I8" i="3"/>
  <c r="I9" i="3"/>
  <c r="I10" i="3"/>
  <c r="E21" i="19" s="1"/>
  <c r="I18" i="3"/>
  <c r="I14" i="3"/>
  <c r="D3" i="3"/>
  <c r="D3" i="1"/>
  <c r="K3" i="3"/>
  <c r="Q3" i="3"/>
  <c r="G3" i="1" s="1"/>
  <c r="E3" i="1" l="1"/>
  <c r="N3" i="3"/>
  <c r="U3" i="3" s="1"/>
  <c r="N9" i="3"/>
  <c r="N13" i="3"/>
  <c r="N17" i="3"/>
  <c r="N11" i="3" l="1"/>
  <c r="N7" i="3"/>
  <c r="N15" i="3"/>
  <c r="N5" i="3"/>
  <c r="D33" i="19" s="1"/>
  <c r="N18" i="3"/>
  <c r="N10" i="3"/>
  <c r="E31" i="19" s="1"/>
  <c r="D31" i="19"/>
  <c r="N16" i="3"/>
  <c r="N8" i="3"/>
  <c r="N14" i="3"/>
  <c r="N6" i="3"/>
  <c r="N12" i="3"/>
  <c r="F3" i="1"/>
  <c r="I3" i="1" s="1"/>
  <c r="C2" i="15" s="1"/>
  <c r="D4" i="3"/>
  <c r="G16" i="16" l="1"/>
  <c r="G19" i="16"/>
  <c r="D5" i="1"/>
  <c r="D10" i="1"/>
  <c r="D11" i="1"/>
  <c r="D12" i="1"/>
  <c r="D19" i="1"/>
  <c r="D17" i="1" l="1"/>
  <c r="D18" i="1"/>
  <c r="D16" i="1"/>
  <c r="D8" i="1"/>
  <c r="D15" i="1"/>
  <c r="D6" i="1"/>
  <c r="D9" i="1"/>
  <c r="D14" i="1"/>
  <c r="D13" i="1"/>
  <c r="D4" i="1"/>
  <c r="G15" i="16"/>
  <c r="Q6" i="3"/>
  <c r="G6" i="1" s="1"/>
  <c r="Q7" i="3"/>
  <c r="G7" i="1" s="1"/>
  <c r="Q9" i="3"/>
  <c r="G9" i="1" s="1"/>
  <c r="Q10" i="3"/>
  <c r="Q11" i="3"/>
  <c r="G11" i="1" s="1"/>
  <c r="Q12" i="3"/>
  <c r="G12" i="1" s="1"/>
  <c r="Q15" i="3"/>
  <c r="G15" i="1" s="1"/>
  <c r="Q16" i="3"/>
  <c r="G16" i="1" s="1"/>
  <c r="Q17" i="3"/>
  <c r="G17" i="1" s="1"/>
  <c r="Q18" i="3"/>
  <c r="G18" i="1" s="1"/>
  <c r="Q19" i="3"/>
  <c r="G19" i="1" s="1"/>
  <c r="G10" i="1" l="1"/>
  <c r="D7" i="1"/>
  <c r="N19" i="3"/>
  <c r="F19" i="1" s="1"/>
  <c r="E35" i="19" l="1"/>
  <c r="D37" i="19"/>
  <c r="G24" i="16" l="1"/>
  <c r="G25" i="16"/>
  <c r="Q5" i="3"/>
  <c r="G5" i="1" s="1"/>
  <c r="Q8" i="3"/>
  <c r="G8" i="1" s="1"/>
  <c r="Q13" i="3"/>
  <c r="G13" i="1" s="1"/>
  <c r="Q14" i="3"/>
  <c r="G14" i="1" s="1"/>
  <c r="G4" i="1"/>
  <c r="D5" i="3" l="1"/>
  <c r="D19" i="19" s="1"/>
  <c r="D6" i="3"/>
  <c r="D7" i="3"/>
  <c r="D8" i="3"/>
  <c r="D9" i="3"/>
  <c r="D11" i="3"/>
  <c r="D12" i="3"/>
  <c r="D13" i="3"/>
  <c r="D14" i="3"/>
  <c r="D15" i="3"/>
  <c r="D16" i="3"/>
  <c r="C3" i="1"/>
  <c r="T17" i="3"/>
  <c r="H17" i="1" s="1"/>
  <c r="T18" i="3"/>
  <c r="H18" i="1" s="1"/>
  <c r="T19" i="3"/>
  <c r="H19" i="1" s="1"/>
  <c r="T4" i="3"/>
  <c r="H4" i="1" s="1"/>
  <c r="T5" i="3"/>
  <c r="T6" i="3"/>
  <c r="H6" i="1" s="1"/>
  <c r="T7" i="3"/>
  <c r="H7" i="1" s="1"/>
  <c r="T8" i="3"/>
  <c r="H8" i="1" s="1"/>
  <c r="T9" i="3"/>
  <c r="H9" i="1" s="1"/>
  <c r="T10" i="3"/>
  <c r="T11" i="3"/>
  <c r="H11" i="1" s="1"/>
  <c r="T12" i="3"/>
  <c r="H12" i="1" s="1"/>
  <c r="T13" i="3"/>
  <c r="H13" i="1" s="1"/>
  <c r="T14" i="3"/>
  <c r="H14" i="1" s="1"/>
  <c r="T15" i="3"/>
  <c r="H15" i="1" s="1"/>
  <c r="T16" i="3"/>
  <c r="H16" i="1" s="1"/>
  <c r="G22" i="16"/>
  <c r="K5" i="3"/>
  <c r="K6" i="3"/>
  <c r="E6" i="1" s="1"/>
  <c r="K7" i="3"/>
  <c r="K8" i="3"/>
  <c r="E8" i="1" s="1"/>
  <c r="K9" i="3"/>
  <c r="E9" i="1" s="1"/>
  <c r="K10" i="3"/>
  <c r="K11" i="3"/>
  <c r="E11" i="1" s="1"/>
  <c r="K12" i="3"/>
  <c r="E12" i="1" s="1"/>
  <c r="K13" i="3"/>
  <c r="E13" i="1" s="1"/>
  <c r="K14" i="3"/>
  <c r="E14" i="1" s="1"/>
  <c r="K15" i="3"/>
  <c r="E15" i="1" s="1"/>
  <c r="K16" i="3"/>
  <c r="E16" i="1" s="1"/>
  <c r="K17" i="3"/>
  <c r="K18" i="3"/>
  <c r="K19" i="3"/>
  <c r="E19" i="1" s="1"/>
  <c r="F18" i="1"/>
  <c r="F17" i="1"/>
  <c r="F16" i="1"/>
  <c r="F15" i="1"/>
  <c r="F14" i="1"/>
  <c r="F13" i="1"/>
  <c r="F12" i="1"/>
  <c r="F11" i="1"/>
  <c r="F10" i="1"/>
  <c r="F9" i="1"/>
  <c r="F8" i="1"/>
  <c r="F6" i="1"/>
  <c r="F5" i="1"/>
  <c r="E5" i="1" l="1"/>
  <c r="D29" i="19"/>
  <c r="H5" i="1"/>
  <c r="D39" i="19"/>
  <c r="U13" i="3"/>
  <c r="U12" i="3"/>
  <c r="H10" i="1"/>
  <c r="U11" i="3"/>
  <c r="U9" i="3"/>
  <c r="U8" i="3"/>
  <c r="E18" i="1"/>
  <c r="U18" i="3"/>
  <c r="E10" i="1"/>
  <c r="E29" i="19"/>
  <c r="U10" i="3"/>
  <c r="U16" i="3"/>
  <c r="U7" i="3"/>
  <c r="E17" i="1"/>
  <c r="U17" i="3"/>
  <c r="U15" i="3"/>
  <c r="U6" i="3"/>
  <c r="U14" i="3"/>
  <c r="U5" i="3"/>
  <c r="E7" i="1"/>
  <c r="F7" i="1"/>
  <c r="E4" i="1"/>
  <c r="G21" i="16"/>
  <c r="F4" i="1"/>
  <c r="G23" i="16"/>
  <c r="U19" i="3"/>
  <c r="C10" i="1"/>
  <c r="C8" i="1"/>
  <c r="C18" i="1"/>
  <c r="C17" i="1"/>
  <c r="C9" i="1"/>
  <c r="C16" i="1"/>
  <c r="C15" i="1"/>
  <c r="C7" i="1"/>
  <c r="C14" i="1"/>
  <c r="C6" i="1"/>
  <c r="C5" i="1"/>
  <c r="C13" i="1"/>
  <c r="C12" i="1"/>
  <c r="C4" i="1"/>
  <c r="U4" i="3"/>
  <c r="C19" i="1"/>
  <c r="C11" i="1"/>
  <c r="D2" i="1"/>
  <c r="E37" i="19" l="1"/>
  <c r="E2" i="1"/>
  <c r="N2" i="1" s="1"/>
  <c r="N4" i="1" s="1"/>
  <c r="I4" i="1"/>
  <c r="C3" i="15" s="1"/>
  <c r="I16" i="1"/>
  <c r="C15" i="15" s="1"/>
  <c r="I14" i="1"/>
  <c r="C13" i="15" s="1"/>
  <c r="I12" i="1"/>
  <c r="C11" i="15" s="1"/>
  <c r="I10" i="1"/>
  <c r="C9" i="15" s="1"/>
  <c r="C2" i="1"/>
  <c r="I19" i="1"/>
  <c r="C18" i="15" s="1"/>
  <c r="I8" i="1"/>
  <c r="C7" i="15" s="1"/>
  <c r="I15" i="1"/>
  <c r="C14" i="15" s="1"/>
  <c r="I6" i="1"/>
  <c r="C5" i="15" s="1"/>
  <c r="I5" i="1"/>
  <c r="C4" i="15" s="1"/>
  <c r="I18" i="1"/>
  <c r="C17" i="15" s="1"/>
  <c r="I9" i="1"/>
  <c r="C8" i="15" s="1"/>
  <c r="I13" i="1"/>
  <c r="C12" i="15" s="1"/>
  <c r="I7" i="1"/>
  <c r="C6" i="15" s="1"/>
  <c r="I17" i="1"/>
  <c r="C16" i="15" s="1"/>
  <c r="I11" i="1"/>
  <c r="C10" i="15" s="1"/>
  <c r="H2" i="1"/>
  <c r="Q2" i="1" s="1"/>
  <c r="Q4" i="1" s="1"/>
  <c r="G2" i="1"/>
  <c r="P2" i="1" s="1"/>
  <c r="P5" i="1" s="1"/>
  <c r="M2" i="1"/>
  <c r="M4" i="1" s="1"/>
  <c r="F47" i="1"/>
  <c r="G47" i="1"/>
  <c r="E47" i="1"/>
  <c r="C47" i="1"/>
  <c r="D47" i="1"/>
  <c r="B47" i="1"/>
  <c r="D3" i="15" l="1"/>
  <c r="D18" i="15"/>
  <c r="D2" i="15"/>
  <c r="H21" i="15"/>
  <c r="D14" i="15"/>
  <c r="H9" i="15"/>
  <c r="H13" i="15"/>
  <c r="D12" i="15"/>
  <c r="D9" i="15"/>
  <c r="H14" i="15"/>
  <c r="H15" i="15"/>
  <c r="D15" i="15"/>
  <c r="D13" i="15"/>
  <c r="H17" i="15"/>
  <c r="D5" i="15"/>
  <c r="H18" i="15"/>
  <c r="D17" i="15"/>
  <c r="H6" i="15"/>
  <c r="D11" i="15"/>
  <c r="H12" i="15"/>
  <c r="D8" i="15"/>
  <c r="H11" i="15"/>
  <c r="D16" i="15"/>
  <c r="H5" i="15"/>
  <c r="G5" i="15" s="1"/>
  <c r="W13" i="2" s="1"/>
  <c r="D7" i="15"/>
  <c r="H20" i="15"/>
  <c r="H19" i="15"/>
  <c r="D4" i="15"/>
  <c r="H10" i="15"/>
  <c r="D10" i="15"/>
  <c r="H16" i="15"/>
  <c r="H8" i="15"/>
  <c r="D6" i="15"/>
  <c r="H7" i="15"/>
  <c r="L2" i="1"/>
  <c r="L4" i="1" s="1"/>
  <c r="N6" i="1"/>
  <c r="N5" i="1"/>
  <c r="Q5" i="1"/>
  <c r="Q6" i="1"/>
  <c r="M5" i="1"/>
  <c r="P4" i="1"/>
  <c r="P6" i="1"/>
  <c r="M6" i="1"/>
  <c r="K2" i="1"/>
  <c r="G12" i="15" l="1"/>
  <c r="W20" i="2" s="1"/>
  <c r="G18" i="15"/>
  <c r="W26" i="2" s="1"/>
  <c r="G21" i="15"/>
  <c r="W29" i="2" s="1"/>
  <c r="G8" i="15"/>
  <c r="W16" i="2" s="1"/>
  <c r="G16" i="15"/>
  <c r="W24" i="2" s="1"/>
  <c r="G19" i="15"/>
  <c r="W27" i="2" s="1"/>
  <c r="G15" i="15"/>
  <c r="W23" i="2" s="1"/>
  <c r="G13" i="15"/>
  <c r="W21" i="2" s="1"/>
  <c r="G7" i="15"/>
  <c r="W15" i="2" s="1"/>
  <c r="G11" i="15"/>
  <c r="W19" i="2" s="1"/>
  <c r="G17" i="15"/>
  <c r="W25" i="2" s="1"/>
  <c r="G9" i="15"/>
  <c r="W17" i="2" s="1"/>
  <c r="G20" i="15"/>
  <c r="W28" i="2" s="1"/>
  <c r="G6" i="15"/>
  <c r="W14" i="2" s="1"/>
  <c r="G14" i="15"/>
  <c r="W22" i="2" s="1"/>
  <c r="G10" i="15"/>
  <c r="W18" i="2" s="1"/>
  <c r="L5" i="1"/>
  <c r="L6" i="1" s="1"/>
  <c r="B11" i="2"/>
  <c r="F2" i="1" l="1"/>
  <c r="O2" i="1" l="1"/>
  <c r="O5" i="1" s="1"/>
  <c r="I2" i="1"/>
  <c r="O4" i="1" l="1"/>
  <c r="O6" i="1"/>
  <c r="G14" i="19"/>
</calcChain>
</file>

<file path=xl/sharedStrings.xml><?xml version="1.0" encoding="utf-8"?>
<sst xmlns="http://schemas.openxmlformats.org/spreadsheetml/2006/main" count="210" uniqueCount="122">
  <si>
    <t>ID</t>
  </si>
  <si>
    <t>Keseluruhan</t>
  </si>
  <si>
    <t>AMANAH</t>
  </si>
  <si>
    <t>KOMPETEN</t>
  </si>
  <si>
    <t>HARMONIS</t>
  </si>
  <si>
    <t>LOYAL</t>
  </si>
  <si>
    <t>Kantor Pusat</t>
  </si>
  <si>
    <t>Gunung Sitoli</t>
  </si>
  <si>
    <t>ADAPTIF</t>
  </si>
  <si>
    <t>KOLABORATIF</t>
  </si>
  <si>
    <t>Cabang Pelabuhan</t>
  </si>
  <si>
    <t>ID Cabang Pelabuhan</t>
  </si>
  <si>
    <t>Amanah</t>
  </si>
  <si>
    <t>Kompeten</t>
  </si>
  <si>
    <t>Harmonis</t>
  </si>
  <si>
    <t>Loyal</t>
  </si>
  <si>
    <t>Adaptif</t>
  </si>
  <si>
    <t>Kolaboratif</t>
  </si>
  <si>
    <t>Belawan</t>
  </si>
  <si>
    <t>Dumai</t>
  </si>
  <si>
    <t>Terminal Petikemas Belawan</t>
  </si>
  <si>
    <t>Tanjung Pinang</t>
  </si>
  <si>
    <t>Pekanbaru</t>
  </si>
  <si>
    <t>Tanjung Balai Karimun</t>
  </si>
  <si>
    <t>Kuala Tanjung</t>
  </si>
  <si>
    <t>Batam</t>
  </si>
  <si>
    <t>Sei Pakning</t>
  </si>
  <si>
    <t>Sibolga</t>
  </si>
  <si>
    <t>Malahayati</t>
  </si>
  <si>
    <t>Lhokseumawe</t>
  </si>
  <si>
    <t>Tanjung Balai Asahan</t>
  </si>
  <si>
    <t>Tembilahan</t>
  </si>
  <si>
    <t>Unit Galangan Kapal</t>
  </si>
  <si>
    <t>Hijau</t>
  </si>
  <si>
    <t>Kuning</t>
  </si>
  <si>
    <t>Merah</t>
  </si>
  <si>
    <t>Temuan SPI</t>
  </si>
  <si>
    <t>Nilai AMANAH</t>
  </si>
  <si>
    <t>Kolaborasi Tim Internalisasi Budaya</t>
  </si>
  <si>
    <t>Revenue</t>
  </si>
  <si>
    <t>Realisasi PKM</t>
  </si>
  <si>
    <t xml:space="preserve">Koreksi Nota </t>
  </si>
  <si>
    <t>Efisiensi</t>
  </si>
  <si>
    <t>Penggunaan Modul SD</t>
  </si>
  <si>
    <t>Level Of Service (ET/BT)</t>
  </si>
  <si>
    <t>No.</t>
  </si>
  <si>
    <t>Cabang</t>
  </si>
  <si>
    <t>Realisasi KPI</t>
  </si>
  <si>
    <t>Nilai KOMPETEN</t>
  </si>
  <si>
    <t>Nilai HARMONIS</t>
  </si>
  <si>
    <t>Nilai LOYAL</t>
  </si>
  <si>
    <t>Nilai ADAPTIF</t>
  </si>
  <si>
    <t>Nilai KOLABORATIF</t>
  </si>
  <si>
    <t>TPK Belawan</t>
  </si>
  <si>
    <t>Total Presentase (%)</t>
  </si>
  <si>
    <t>Nilai Total</t>
  </si>
  <si>
    <t>Keterangan</t>
  </si>
  <si>
    <t>No</t>
  </si>
  <si>
    <t xml:space="preserve">Total Akhir </t>
  </si>
  <si>
    <t>Ranking</t>
  </si>
  <si>
    <t>Nilai</t>
  </si>
  <si>
    <t>Rank</t>
  </si>
  <si>
    <t>Top Rank</t>
  </si>
  <si>
    <t>(temuan belum terselesaikan)</t>
  </si>
  <si>
    <t>N/A</t>
  </si>
  <si>
    <t>(tidak ada pelaksanaan audit SPI)</t>
  </si>
  <si>
    <t>(tidak ada aktivitas pada cabang terkait)</t>
  </si>
  <si>
    <t>Pekan Baru</t>
  </si>
  <si>
    <t>PT PELABUHAN INDONESIA I (Persero)</t>
  </si>
  <si>
    <t xml:space="preserve">GRHA PELINDO SATU Jalan Lingkar Pelabuhan No. 1 Belawan, </t>
  </si>
  <si>
    <t>Medan - 20411 Sumatera Utara - Indonesia</t>
  </si>
  <si>
    <t>Nama Cabang</t>
  </si>
  <si>
    <t>:</t>
  </si>
  <si>
    <t>Kelas Cabang</t>
  </si>
  <si>
    <t>Jumlah Per Orang</t>
  </si>
  <si>
    <t>Modul</t>
  </si>
  <si>
    <t>Indikator</t>
  </si>
  <si>
    <t>Persentase</t>
  </si>
  <si>
    <t>Tingkat Partisipasi Pelatihan</t>
  </si>
  <si>
    <t xml:space="preserve">Availability </t>
  </si>
  <si>
    <t>Utilisasi Alat</t>
  </si>
  <si>
    <t>Kolaborasi Tim Internalisasi Budaya (TIB)</t>
  </si>
  <si>
    <t>Koreksi Nota</t>
  </si>
  <si>
    <t>Urutan</t>
  </si>
  <si>
    <t>Level Of Service (ET/BT)(30%)</t>
  </si>
  <si>
    <t>Tingkat  partisipasi pelatihan (20%)</t>
  </si>
  <si>
    <t>Availability Alat (20%)</t>
  </si>
  <si>
    <t xml:space="preserve"> Utilisasi Alat (30%)</t>
  </si>
  <si>
    <t>Realisasi KPI Feb</t>
  </si>
  <si>
    <t>Realisasi PKM Feb</t>
  </si>
  <si>
    <t>Persentase Core Value</t>
  </si>
  <si>
    <t>Data Owner</t>
  </si>
  <si>
    <t>1.</t>
  </si>
  <si>
    <t>Divisi Satuan 
Pegawasan Intern</t>
  </si>
  <si>
    <t>2.</t>
  </si>
  <si>
    <t>Level Of Service (ET/BT) &amp; WTP (Waiting Time Pilot)</t>
  </si>
  <si>
    <t>Divisi Bisnis Terminal 
Logistik &amp; Divisi Bisnis</t>
  </si>
  <si>
    <t>Divisi Universitas 
Korporat</t>
  </si>
  <si>
    <t>Availability Alat</t>
  </si>
  <si>
    <t>Divisi Peralatan</t>
  </si>
  <si>
    <t>Divisi Bisnis Terminal 
&amp; Logistik</t>
  </si>
  <si>
    <t>3.</t>
  </si>
  <si>
    <t>Divisi Manajemen 
Transformasi</t>
  </si>
  <si>
    <t>4.</t>
  </si>
  <si>
    <t>Divisi Akuntansi &amp; Divisi Perencanaan &amp; Pengendalian Anggaran</t>
  </si>
  <si>
    <t>Divisi akuntansi &amp; Divisi Perencanaan &amp; Pengendalian Anggaran</t>
  </si>
  <si>
    <t>5.</t>
  </si>
  <si>
    <t>Divisi Unit Pusat 
Layanan</t>
  </si>
  <si>
    <t>6.</t>
  </si>
  <si>
    <t>Divisi Manajemen 
Strategis Perusahaan</t>
  </si>
  <si>
    <t>Nama Cabang :</t>
  </si>
  <si>
    <t>Data diatas telah divalidasi oleh data owner, apabila terdapat pertanyaan atau menimbulkan keraguan atas data dimaksud, dapat berkordinasi lebih lanjut secara langsung dengan masing-masing data owner.</t>
  </si>
  <si>
    <t>DIREKTUR PT PELABUHAN INDONESIA I (PERSERO)</t>
  </si>
  <si>
    <t>(....................................)</t>
  </si>
  <si>
    <t>Keterangan :</t>
  </si>
  <si>
    <t>Waiting Time Pandu/Pilot dipengaruhi oleh : cuaca, kesiapan armada, kesiapan pandu, alur/pasang surut, dan mobil operasional pandu.</t>
  </si>
  <si>
    <t>Dalam persentase pertemuan SPI :</t>
  </si>
  <si>
    <t>NA : Not Available/Tidak dilakukan audit</t>
  </si>
  <si>
    <t>0% : Temuan tidak ditindaklanjuti</t>
  </si>
  <si>
    <t>Ukuran</t>
  </si>
  <si>
    <t>Ranking :</t>
  </si>
  <si>
    <r>
      <t xml:space="preserve">1. Amanah :
    Temuan SPI adalah persentase penyelesaian temuan SPI berdasarkan              </t>
    </r>
    <r>
      <rPr>
        <sz val="10"/>
        <color theme="0"/>
        <rFont val="Arial"/>
        <family val="2"/>
      </rPr>
      <t>....</t>
    </r>
    <r>
      <rPr>
        <sz val="10"/>
        <color theme="1"/>
        <rFont val="Arial"/>
        <family val="2"/>
        <charset val="1"/>
      </rPr>
      <t xml:space="preserve">rekomendasi yg diberikan oleh SPI                                                                                                                                                                  2. Kompeten :
    Level of Service : Persentase tingkat kualitas pelayanan operasional 
    Tingkat Partisipasi Pelatihan : Persentase keaktifan pegawai dalam mengikuti </t>
    </r>
    <r>
      <rPr>
        <sz val="10"/>
        <color theme="0"/>
        <rFont val="Arial"/>
        <family val="2"/>
      </rPr>
      <t>....</t>
    </r>
    <r>
      <rPr>
        <sz val="10"/>
        <color theme="1"/>
        <rFont val="Arial"/>
        <family val="2"/>
        <charset val="1"/>
      </rPr>
      <t xml:space="preserve">pelatihan
    Availability Alat : Persentase ketersediaan alat dalam melaksanakan pelayanan </t>
    </r>
    <r>
      <rPr>
        <sz val="10"/>
        <color theme="0"/>
        <rFont val="Arial"/>
        <family val="2"/>
      </rPr>
      <t>....</t>
    </r>
    <r>
      <rPr>
        <sz val="10"/>
        <color theme="1"/>
        <rFont val="Arial"/>
        <family val="2"/>
        <charset val="1"/>
      </rPr>
      <t xml:space="preserve">operasional
    Utilisasi Alat : Persentase pemanfaatan/pemakaian alat dalam melakasanakan </t>
    </r>
    <r>
      <rPr>
        <sz val="10"/>
        <color theme="0"/>
        <rFont val="Arial"/>
        <family val="2"/>
      </rPr>
      <t>....</t>
    </r>
    <r>
      <rPr>
        <sz val="10"/>
        <color theme="1"/>
        <rFont val="Arial"/>
        <family val="2"/>
        <charset val="1"/>
      </rPr>
      <t xml:space="preserve">pelayanan operasional                                                                                                                               3. Harmonis :
    Kolaborasi Tim Internalisasi Budaya (TIB) : Persentase keaktifan TIB dalam   </t>
    </r>
    <r>
      <rPr>
        <sz val="10"/>
        <color theme="0"/>
        <rFont val="Arial"/>
        <family val="2"/>
      </rPr>
      <t>....</t>
    </r>
    <r>
      <rPr>
        <sz val="10"/>
        <color theme="1"/>
        <rFont val="Arial"/>
        <family val="2"/>
        <charset val="1"/>
      </rPr>
      <t xml:space="preserve">     </t>
    </r>
    <r>
      <rPr>
        <sz val="10"/>
        <color theme="0"/>
        <rFont val="Arial"/>
        <family val="2"/>
      </rPr>
      <t>....</t>
    </r>
    <r>
      <rPr>
        <sz val="10"/>
        <color theme="1"/>
        <rFont val="Arial"/>
        <family val="2"/>
        <charset val="1"/>
      </rPr>
      <t xml:space="preserve">mendukung program internalisasi budaya perusahaan                                                                                                                                                                                                                         4. Loyal :
    Revenue : Persentase pencapaian seluruh pendapatan baik usaha maupun non    </t>
    </r>
    <r>
      <rPr>
        <sz val="10"/>
        <color theme="0"/>
        <rFont val="Arial"/>
        <family val="2"/>
      </rPr>
      <t>....</t>
    </r>
    <r>
      <rPr>
        <sz val="10"/>
        <color theme="1"/>
        <rFont val="Arial"/>
        <family val="2"/>
        <charset val="1"/>
      </rPr>
      <t xml:space="preserve">usaha yang di capai
    Efisiensi : Persentase efisiensi dan penyerapan seluruh komponen biaya yang </t>
    </r>
    <r>
      <rPr>
        <sz val="10"/>
        <color theme="0"/>
        <rFont val="Arial"/>
        <family val="2"/>
      </rPr>
      <t>....</t>
    </r>
    <r>
      <rPr>
        <sz val="10"/>
        <color theme="1"/>
        <rFont val="Arial"/>
        <family val="2"/>
        <charset val="1"/>
      </rPr>
      <t xml:space="preserve">dilakukan cabang/unit                                                                                                                5. Adaptif :
    Koreksi Nota : Persentase koreksi nota yang terjadi akibat kelalaian user          </t>
    </r>
    <r>
      <rPr>
        <sz val="10"/>
        <color theme="0"/>
        <rFont val="Arial"/>
        <family val="2"/>
      </rPr>
      <t>....</t>
    </r>
    <r>
      <rPr>
        <sz val="10"/>
        <color theme="1"/>
        <rFont val="Arial"/>
        <family val="2"/>
        <charset val="1"/>
      </rPr>
      <t xml:space="preserve">(cabang)                                                                                                                               6. Kolaboratif :
    Realisasi PKM : Persentase pencapaian PKM sesuai dengan target dan jangka </t>
    </r>
    <r>
      <rPr>
        <sz val="10"/>
        <color theme="0"/>
        <rFont val="Arial"/>
        <family val="2"/>
      </rPr>
      <t>....</t>
    </r>
    <r>
      <rPr>
        <sz val="10"/>
        <color theme="1"/>
        <rFont val="Arial"/>
        <family val="2"/>
        <charset val="1"/>
      </rPr>
      <t xml:space="preserve">waktu yang ditetapkan oleh perusahaan
    Realisasi KPI : Persentase pencapaian KPI sesuai dengan target yang ditetapkan         </t>
    </r>
    <r>
      <rPr>
        <sz val="10"/>
        <color theme="0"/>
        <rFont val="Arial"/>
        <family val="2"/>
      </rPr>
      <t>....</t>
    </r>
    <r>
      <rPr>
        <sz val="10"/>
        <color theme="1"/>
        <rFont val="Arial"/>
        <family val="2"/>
        <charset val="1"/>
      </rPr>
      <t>oleh perusahaan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</si>
</sst>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\-* #,##0_-;_-* &quot;-&quot;_-;_-@_-"/>
    <numFmt numFmtId="165" formatCode="0.0%"/>
  </numFmts>
  <fonts count="24" x14ac:knownFonts="1">
    <font>
      <sz val="10"/>
      <color theme="1"/>
      <name val="Arial"/>
      <family val="2"/>
      <charset val="1"/>
    </font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  <charset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6100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14"/>
      <color theme="1"/>
      <name val="Calibri"/>
      <family val="2"/>
      <scheme val="minor"/>
    </font>
    <font>
      <sz val="14"/>
      <color theme="1"/>
      <name val="Arial"/>
      <family val="2"/>
      <charset val="1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Arial"/>
      <family val="2"/>
    </font>
    <font>
      <sz val="12"/>
      <color theme="1"/>
      <name val="Arial"/>
      <family val="2"/>
      <charset val="1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22"/>
      <color theme="1"/>
      <name val="Arial"/>
      <family val="2"/>
    </font>
    <font>
      <sz val="14"/>
      <color theme="1"/>
      <name val="Raleway"/>
      <family val="2"/>
    </font>
    <font>
      <b/>
      <sz val="9"/>
      <color theme="1"/>
      <name val="Arial"/>
      <family val="2"/>
    </font>
    <font>
      <b/>
      <sz val="9"/>
      <color theme="0"/>
      <name val="Raleway"/>
      <family val="2"/>
    </font>
    <font>
      <sz val="8"/>
      <color theme="1"/>
      <name val="Arial"/>
      <family val="2"/>
      <charset val="1"/>
    </font>
    <font>
      <sz val="8"/>
      <color theme="1"/>
      <name val="Raleway"/>
      <family val="2"/>
      <charset val="1"/>
    </font>
    <font>
      <sz val="9"/>
      <color theme="1"/>
      <name val="Arial"/>
      <family val="2"/>
      <charset val="1"/>
    </font>
    <font>
      <sz val="11"/>
      <color theme="1"/>
      <name val="Arial"/>
      <family val="2"/>
      <charset val="1"/>
    </font>
    <font>
      <sz val="10"/>
      <color theme="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22478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</fills>
  <borders count="31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1"/>
      </left>
      <right style="thin">
        <color theme="0"/>
      </right>
      <top style="thin">
        <color theme="1"/>
      </top>
      <bottom/>
      <diagonal/>
    </border>
    <border>
      <left style="thin">
        <color theme="1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5" borderId="0" applyNumberFormat="0" applyBorder="0" applyAlignment="0" applyProtection="0"/>
    <xf numFmtId="0" fontId="6" fillId="6" borderId="3" applyNumberFormat="0" applyAlignment="0" applyProtection="0"/>
  </cellStyleXfs>
  <cellXfs count="186">
    <xf numFmtId="0" fontId="0" fillId="0" borderId="0" xfId="0"/>
    <xf numFmtId="0" fontId="0" fillId="0" borderId="0" xfId="0" applyAlignment="1">
      <alignment horizontal="center" vertical="center"/>
    </xf>
    <xf numFmtId="9" fontId="0" fillId="0" borderId="0" xfId="2" applyFont="1"/>
    <xf numFmtId="0" fontId="3" fillId="0" borderId="0" xfId="0" applyFont="1"/>
    <xf numFmtId="15" fontId="0" fillId="0" borderId="0" xfId="0" applyNumberFormat="1" applyAlignment="1">
      <alignment horizontal="left"/>
    </xf>
    <xf numFmtId="0" fontId="0" fillId="3" borderId="0" xfId="0" applyFill="1"/>
    <xf numFmtId="164" fontId="0" fillId="4" borderId="1" xfId="0" applyNumberFormat="1" applyFont="1" applyFill="1" applyBorder="1"/>
    <xf numFmtId="164" fontId="0" fillId="0" borderId="1" xfId="1" applyNumberFormat="1" applyFont="1" applyBorder="1"/>
    <xf numFmtId="164" fontId="0" fillId="4" borderId="1" xfId="1" applyNumberFormat="1" applyFont="1" applyFill="1" applyBorder="1"/>
    <xf numFmtId="9" fontId="0" fillId="0" borderId="0" xfId="0" applyNumberFormat="1"/>
    <xf numFmtId="0" fontId="0" fillId="7" borderId="0" xfId="0" applyFill="1"/>
    <xf numFmtId="0" fontId="0" fillId="8" borderId="0" xfId="0" applyFill="1"/>
    <xf numFmtId="0" fontId="0" fillId="0" borderId="0" xfId="0" applyAlignment="1">
      <alignment vertical="center"/>
    </xf>
    <xf numFmtId="9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8" fillId="0" borderId="0" xfId="0" applyFont="1"/>
    <xf numFmtId="0" fontId="7" fillId="9" borderId="3" xfId="8" applyFont="1" applyFill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9" borderId="0" xfId="0" applyFont="1" applyFill="1" applyAlignment="1">
      <alignment horizontal="center"/>
    </xf>
    <xf numFmtId="0" fontId="9" fillId="9" borderId="3" xfId="8" applyFont="1" applyFill="1" applyAlignment="1">
      <alignment horizontal="center" vertical="center"/>
    </xf>
    <xf numFmtId="0" fontId="9" fillId="9" borderId="3" xfId="8" applyFont="1" applyFill="1" applyAlignment="1">
      <alignment horizontal="center" vertical="center" wrapText="1"/>
    </xf>
    <xf numFmtId="0" fontId="9" fillId="9" borderId="8" xfId="8" applyFont="1" applyFill="1" applyBorder="1" applyAlignment="1">
      <alignment horizontal="center" vertical="center" wrapText="1"/>
    </xf>
    <xf numFmtId="0" fontId="9" fillId="9" borderId="3" xfId="8" applyFont="1" applyFill="1" applyBorder="1" applyAlignment="1">
      <alignment horizontal="center" vertical="center" wrapText="1"/>
    </xf>
    <xf numFmtId="0" fontId="9" fillId="9" borderId="3" xfId="8" applyFont="1" applyFill="1"/>
    <xf numFmtId="0" fontId="9" fillId="10" borderId="3" xfId="7" applyFont="1" applyFill="1" applyBorder="1" applyAlignment="1">
      <alignment horizontal="center" vertical="center" wrapText="1"/>
    </xf>
    <xf numFmtId="9" fontId="7" fillId="10" borderId="3" xfId="7" applyNumberFormat="1" applyFont="1" applyFill="1" applyBorder="1" applyAlignment="1">
      <alignment horizontal="center" vertical="center"/>
    </xf>
    <xf numFmtId="0" fontId="9" fillId="10" borderId="3" xfId="8" applyFont="1" applyFill="1" applyAlignment="1">
      <alignment horizontal="center" vertical="center" wrapText="1"/>
    </xf>
    <xf numFmtId="9" fontId="4" fillId="0" borderId="0" xfId="1" applyNumberFormat="1" applyFont="1" applyAlignment="1">
      <alignment horizontal="center" vertical="center"/>
    </xf>
    <xf numFmtId="164" fontId="4" fillId="0" borderId="0" xfId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1" applyFont="1" applyAlignment="1">
      <alignment horizontal="center" vertical="center"/>
    </xf>
    <xf numFmtId="164" fontId="0" fillId="4" borderId="1" xfId="0" applyNumberFormat="1" applyFont="1" applyFill="1" applyBorder="1" applyAlignment="1">
      <alignment horizontal="center" vertical="center"/>
    </xf>
    <xf numFmtId="164" fontId="0" fillId="4" borderId="2" xfId="0" applyNumberFormat="1" applyFont="1" applyFill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4" fillId="0" borderId="1" xfId="1" applyNumberFormat="1" applyFont="1" applyBorder="1" applyAlignment="1">
      <alignment horizontal="center" vertical="center"/>
    </xf>
    <xf numFmtId="164" fontId="4" fillId="0" borderId="2" xfId="1" applyNumberFormat="1" applyFont="1" applyBorder="1" applyAlignment="1">
      <alignment horizontal="center" vertical="center"/>
    </xf>
    <xf numFmtId="164" fontId="0" fillId="4" borderId="1" xfId="1" applyNumberFormat="1" applyFont="1" applyFill="1" applyBorder="1" applyAlignment="1">
      <alignment horizontal="center" vertical="center"/>
    </xf>
    <xf numFmtId="164" fontId="4" fillId="4" borderId="1" xfId="1" applyNumberFormat="1" applyFont="1" applyFill="1" applyBorder="1" applyAlignment="1">
      <alignment horizontal="center" vertical="center"/>
    </xf>
    <xf numFmtId="164" fontId="4" fillId="4" borderId="2" xfId="1" applyNumberFormat="1" applyFont="1" applyFill="1" applyBorder="1" applyAlignment="1">
      <alignment horizontal="center" vertical="center"/>
    </xf>
    <xf numFmtId="9" fontId="8" fillId="0" borderId="0" xfId="1" applyNumberFormat="1" applyFont="1" applyAlignment="1">
      <alignment horizontal="center" vertical="center"/>
    </xf>
    <xf numFmtId="0" fontId="11" fillId="0" borderId="0" xfId="0" applyFont="1"/>
    <xf numFmtId="0" fontId="8" fillId="8" borderId="0" xfId="0" applyFont="1" applyFill="1" applyAlignment="1">
      <alignment horizontal="center"/>
    </xf>
    <xf numFmtId="0" fontId="8" fillId="9" borderId="0" xfId="0" applyFont="1" applyFill="1" applyBorder="1" applyAlignment="1">
      <alignment horizontal="center"/>
    </xf>
    <xf numFmtId="9" fontId="7" fillId="9" borderId="0" xfId="8" applyNumberFormat="1" applyFont="1" applyFill="1" applyBorder="1" applyAlignment="1">
      <alignment horizontal="center"/>
    </xf>
    <xf numFmtId="0" fontId="0" fillId="12" borderId="0" xfId="0" applyFill="1"/>
    <xf numFmtId="0" fontId="0" fillId="9" borderId="12" xfId="0" applyFill="1" applyBorder="1"/>
    <xf numFmtId="0" fontId="0" fillId="3" borderId="13" xfId="0" applyFill="1" applyBorder="1"/>
    <xf numFmtId="0" fontId="12" fillId="9" borderId="10" xfId="0" applyFont="1" applyFill="1" applyBorder="1"/>
    <xf numFmtId="0" fontId="12" fillId="9" borderId="11" xfId="0" applyFont="1" applyFill="1" applyBorder="1"/>
    <xf numFmtId="0" fontId="0" fillId="3" borderId="0" xfId="0" applyFill="1" applyAlignment="1">
      <alignment horizontal="center"/>
    </xf>
    <xf numFmtId="0" fontId="0" fillId="3" borderId="13" xfId="0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12" fillId="3" borderId="0" xfId="0" applyFont="1" applyFill="1"/>
    <xf numFmtId="0" fontId="0" fillId="3" borderId="0" xfId="0" applyFont="1" applyFill="1"/>
    <xf numFmtId="9" fontId="7" fillId="13" borderId="3" xfId="8" applyNumberFormat="1" applyFont="1" applyFill="1" applyAlignment="1">
      <alignment horizontal="center"/>
    </xf>
    <xf numFmtId="0" fontId="13" fillId="14" borderId="9" xfId="0" applyFont="1" applyFill="1" applyBorder="1" applyAlignment="1">
      <alignment horizontal="center" vertical="center"/>
    </xf>
    <xf numFmtId="9" fontId="7" fillId="2" borderId="3" xfId="7" applyNumberFormat="1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vertical="center"/>
    </xf>
    <xf numFmtId="0" fontId="8" fillId="13" borderId="0" xfId="0" applyFont="1" applyFill="1"/>
    <xf numFmtId="0" fontId="0" fillId="0" borderId="9" xfId="0" applyBorder="1" applyAlignment="1">
      <alignment horizontal="center"/>
    </xf>
    <xf numFmtId="0" fontId="0" fillId="0" borderId="9" xfId="0" applyBorder="1" applyAlignment="1"/>
    <xf numFmtId="0" fontId="0" fillId="0" borderId="9" xfId="0" applyBorder="1"/>
    <xf numFmtId="9" fontId="0" fillId="0" borderId="9" xfId="0" applyNumberFormat="1" applyBorder="1" applyAlignment="1">
      <alignment horizontal="center"/>
    </xf>
    <xf numFmtId="9" fontId="8" fillId="0" borderId="0" xfId="0" applyNumberFormat="1" applyFont="1" applyAlignment="1">
      <alignment horizontal="center"/>
    </xf>
    <xf numFmtId="10" fontId="8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9" fontId="7" fillId="17" borderId="3" xfId="8" applyNumberFormat="1" applyFont="1" applyFill="1" applyAlignment="1">
      <alignment horizontal="center"/>
    </xf>
    <xf numFmtId="10" fontId="7" fillId="9" borderId="3" xfId="8" applyNumberFormat="1" applyFont="1" applyFill="1" applyAlignment="1">
      <alignment horizontal="center"/>
    </xf>
    <xf numFmtId="10" fontId="7" fillId="0" borderId="9" xfId="1" applyNumberFormat="1" applyFont="1" applyBorder="1" applyAlignment="1">
      <alignment horizontal="center" vertical="center"/>
    </xf>
    <xf numFmtId="10" fontId="7" fillId="8" borderId="3" xfId="8" applyNumberFormat="1" applyFont="1" applyFill="1" applyBorder="1" applyAlignment="1">
      <alignment horizontal="center"/>
    </xf>
    <xf numFmtId="10" fontId="7" fillId="9" borderId="3" xfId="8" applyNumberFormat="1" applyFont="1" applyFill="1" applyBorder="1" applyAlignment="1">
      <alignment horizontal="center"/>
    </xf>
    <xf numFmtId="10" fontId="7" fillId="10" borderId="3" xfId="7" applyNumberFormat="1" applyFont="1" applyFill="1" applyBorder="1" applyAlignment="1">
      <alignment horizontal="center" vertical="center"/>
    </xf>
    <xf numFmtId="10" fontId="7" fillId="10" borderId="3" xfId="7" applyNumberFormat="1" applyFont="1" applyFill="1" applyBorder="1" applyAlignment="1">
      <alignment horizontal="center"/>
    </xf>
    <xf numFmtId="10" fontId="7" fillId="9" borderId="8" xfId="8" applyNumberFormat="1" applyFont="1" applyFill="1" applyBorder="1" applyAlignment="1">
      <alignment horizontal="center"/>
    </xf>
    <xf numFmtId="10" fontId="7" fillId="13" borderId="3" xfId="8" applyNumberFormat="1" applyFont="1" applyFill="1" applyAlignment="1">
      <alignment horizontal="center"/>
    </xf>
    <xf numFmtId="10" fontId="7" fillId="10" borderId="3" xfId="8" applyNumberFormat="1" applyFont="1" applyFill="1" applyAlignment="1">
      <alignment horizontal="center"/>
    </xf>
    <xf numFmtId="10" fontId="8" fillId="11" borderId="3" xfId="0" applyNumberFormat="1" applyFont="1" applyFill="1" applyBorder="1" applyAlignment="1">
      <alignment horizontal="center" vertical="center"/>
    </xf>
    <xf numFmtId="10" fontId="4" fillId="0" borderId="0" xfId="1" applyNumberFormat="1" applyFont="1" applyAlignment="1">
      <alignment horizontal="center" vertical="center"/>
    </xf>
    <xf numFmtId="10" fontId="0" fillId="0" borderId="0" xfId="0" applyNumberFormat="1"/>
    <xf numFmtId="10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16" fillId="0" borderId="0" xfId="0" applyFont="1" applyFill="1" applyAlignment="1">
      <alignment vertical="center"/>
    </xf>
    <xf numFmtId="9" fontId="21" fillId="15" borderId="20" xfId="0" applyNumberFormat="1" applyFont="1" applyFill="1" applyBorder="1" applyAlignment="1">
      <alignment horizontal="center" vertical="center" wrapText="1"/>
    </xf>
    <xf numFmtId="9" fontId="21" fillId="15" borderId="21" xfId="0" applyNumberFormat="1" applyFont="1" applyFill="1" applyBorder="1" applyAlignment="1">
      <alignment horizontal="center" vertical="center" wrapText="1"/>
    </xf>
    <xf numFmtId="0" fontId="17" fillId="0" borderId="0" xfId="0" applyFont="1" applyAlignment="1"/>
    <xf numFmtId="0" fontId="3" fillId="0" borderId="0" xfId="0" applyFont="1" applyAlignment="1"/>
    <xf numFmtId="0" fontId="0" fillId="0" borderId="9" xfId="0" applyBorder="1" applyAlignment="1">
      <alignment horizontal="left"/>
    </xf>
    <xf numFmtId="0" fontId="0" fillId="0" borderId="10" xfId="0" applyBorder="1" applyAlignment="1"/>
    <xf numFmtId="0" fontId="0" fillId="0" borderId="12" xfId="0" applyBorder="1" applyAlignment="1"/>
    <xf numFmtId="1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2" fillId="9" borderId="13" xfId="0" applyFont="1" applyFill="1" applyBorder="1"/>
    <xf numFmtId="0" fontId="12" fillId="9" borderId="12" xfId="0" applyFont="1" applyFill="1" applyBorder="1"/>
    <xf numFmtId="10" fontId="0" fillId="0" borderId="9" xfId="0" applyNumberFormat="1" applyBorder="1" applyAlignment="1">
      <alignment horizontal="center"/>
    </xf>
    <xf numFmtId="0" fontId="0" fillId="18" borderId="9" xfId="0" applyFill="1" applyBorder="1" applyAlignment="1">
      <alignment horizontal="center"/>
    </xf>
    <xf numFmtId="10" fontId="7" fillId="9" borderId="3" xfId="7" applyNumberFormat="1" applyFont="1" applyFill="1" applyBorder="1" applyAlignment="1">
      <alignment horizontal="center" vertical="center"/>
    </xf>
    <xf numFmtId="164" fontId="15" fillId="2" borderId="0" xfId="0" applyNumberFormat="1" applyFont="1" applyFill="1" applyAlignment="1">
      <alignment horizontal="center" vertical="center"/>
    </xf>
    <xf numFmtId="0" fontId="13" fillId="14" borderId="10" xfId="0" applyFont="1" applyFill="1" applyBorder="1" applyAlignment="1">
      <alignment horizontal="center" vertical="center"/>
    </xf>
    <xf numFmtId="0" fontId="13" fillId="14" borderId="11" xfId="0" applyFont="1" applyFill="1" applyBorder="1" applyAlignment="1">
      <alignment horizontal="center" vertical="center"/>
    </xf>
    <xf numFmtId="0" fontId="13" fillId="14" borderId="12" xfId="0" applyFont="1" applyFill="1" applyBorder="1" applyAlignment="1">
      <alignment horizontal="center" vertical="center"/>
    </xf>
    <xf numFmtId="0" fontId="11" fillId="11" borderId="4" xfId="0" applyFont="1" applyFill="1" applyBorder="1" applyAlignment="1">
      <alignment horizontal="center" vertical="center"/>
    </xf>
    <xf numFmtId="0" fontId="11" fillId="11" borderId="7" xfId="0" applyFont="1" applyFill="1" applyBorder="1" applyAlignment="1">
      <alignment horizontal="center" vertical="center"/>
    </xf>
    <xf numFmtId="0" fontId="10" fillId="11" borderId="5" xfId="8" applyFont="1" applyFill="1" applyBorder="1" applyAlignment="1">
      <alignment horizontal="center" vertical="center"/>
    </xf>
    <xf numFmtId="0" fontId="10" fillId="11" borderId="6" xfId="8" applyFont="1" applyFill="1" applyBorder="1" applyAlignment="1">
      <alignment horizontal="center" vertical="center"/>
    </xf>
    <xf numFmtId="0" fontId="10" fillId="11" borderId="8" xfId="8" applyFont="1" applyFill="1" applyBorder="1" applyAlignment="1">
      <alignment horizontal="center" vertical="center"/>
    </xf>
    <xf numFmtId="0" fontId="14" fillId="9" borderId="4" xfId="8" applyFont="1" applyFill="1" applyBorder="1" applyAlignment="1">
      <alignment horizontal="center" vertical="center"/>
    </xf>
    <xf numFmtId="0" fontId="14" fillId="9" borderId="7" xfId="8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4" xfId="0" applyBorder="1" applyAlignment="1">
      <alignment horizontal="left" wrapText="1"/>
    </xf>
    <xf numFmtId="0" fontId="0" fillId="0" borderId="15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19" xfId="0" applyBorder="1" applyAlignment="1">
      <alignment horizontal="left" wrapText="1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9" fontId="0" fillId="0" borderId="20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4" fillId="0" borderId="0" xfId="0" applyFont="1" applyAlignment="1">
      <alignment horizontal="left"/>
    </xf>
    <xf numFmtId="0" fontId="21" fillId="0" borderId="9" xfId="0" applyFont="1" applyBorder="1" applyAlignment="1">
      <alignment horizontal="left"/>
    </xf>
    <xf numFmtId="0" fontId="1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2" fillId="0" borderId="0" xfId="0" applyFont="1" applyAlignment="1">
      <alignment horizontal="left" vertical="center" indent="1"/>
    </xf>
    <xf numFmtId="0" fontId="22" fillId="0" borderId="29" xfId="0" applyFont="1" applyBorder="1" applyAlignment="1">
      <alignment horizontal="left" vertical="center" indent="1"/>
    </xf>
    <xf numFmtId="0" fontId="0" fillId="0" borderId="14" xfId="0" applyBorder="1" applyAlignment="1">
      <alignment horizontal="left" vertical="center" wrapText="1" indent="1"/>
    </xf>
    <xf numFmtId="0" fontId="0" fillId="0" borderId="13" xfId="0" applyBorder="1" applyAlignment="1">
      <alignment horizontal="left" vertical="center" wrapText="1" indent="1"/>
    </xf>
    <xf numFmtId="0" fontId="0" fillId="0" borderId="15" xfId="0" applyBorder="1" applyAlignment="1">
      <alignment horizontal="left" vertical="center" wrapText="1" indent="1"/>
    </xf>
    <xf numFmtId="0" fontId="0" fillId="0" borderId="16" xfId="0" applyBorder="1" applyAlignment="1">
      <alignment horizontal="left" vertical="center" wrapText="1" indent="1"/>
    </xf>
    <xf numFmtId="0" fontId="0" fillId="0" borderId="0" xfId="0" applyBorder="1" applyAlignment="1">
      <alignment horizontal="left" vertical="center" wrapText="1" indent="1"/>
    </xf>
    <xf numFmtId="0" fontId="0" fillId="0" borderId="17" xfId="0" applyBorder="1" applyAlignment="1">
      <alignment horizontal="left" vertical="center" wrapText="1" indent="1"/>
    </xf>
    <xf numFmtId="0" fontId="0" fillId="0" borderId="18" xfId="0" applyBorder="1" applyAlignment="1">
      <alignment horizontal="left" vertical="center" wrapText="1" indent="1"/>
    </xf>
    <xf numFmtId="0" fontId="0" fillId="0" borderId="30" xfId="0" applyBorder="1" applyAlignment="1">
      <alignment horizontal="left" vertical="center" wrapText="1" indent="1"/>
    </xf>
    <xf numFmtId="0" fontId="0" fillId="0" borderId="19" xfId="0" applyBorder="1" applyAlignment="1">
      <alignment horizontal="left" vertical="center" wrapText="1" indent="1"/>
    </xf>
    <xf numFmtId="0" fontId="22" fillId="0" borderId="0" xfId="0" applyFont="1" applyAlignment="1">
      <alignment horizontal="right" vertical="center"/>
    </xf>
    <xf numFmtId="0" fontId="22" fillId="0" borderId="29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19" fillId="15" borderId="20" xfId="0" applyFont="1" applyFill="1" applyBorder="1" applyAlignment="1">
      <alignment horizontal="center" vertical="center" wrapText="1"/>
    </xf>
    <xf numFmtId="0" fontId="19" fillId="15" borderId="21" xfId="0" applyFont="1" applyFill="1" applyBorder="1" applyAlignment="1">
      <alignment horizontal="center" vertical="center" wrapText="1"/>
    </xf>
    <xf numFmtId="0" fontId="20" fillId="15" borderId="20" xfId="0" applyFont="1" applyFill="1" applyBorder="1" applyAlignment="1">
      <alignment horizontal="left" vertical="center" wrapText="1"/>
    </xf>
    <xf numFmtId="0" fontId="20" fillId="15" borderId="21" xfId="0" applyFont="1" applyFill="1" applyBorder="1" applyAlignment="1">
      <alignment horizontal="left" vertical="center" wrapText="1"/>
    </xf>
    <xf numFmtId="165" fontId="21" fillId="15" borderId="20" xfId="0" applyNumberFormat="1" applyFont="1" applyFill="1" applyBorder="1" applyAlignment="1">
      <alignment horizontal="center" vertical="center" wrapText="1"/>
    </xf>
    <xf numFmtId="165" fontId="21" fillId="15" borderId="21" xfId="0" applyNumberFormat="1" applyFont="1" applyFill="1" applyBorder="1" applyAlignment="1">
      <alignment horizontal="center" vertical="center" wrapText="1"/>
    </xf>
    <xf numFmtId="0" fontId="19" fillId="15" borderId="20" xfId="0" applyFont="1" applyFill="1" applyBorder="1" applyAlignment="1">
      <alignment horizontal="center" vertical="center"/>
    </xf>
    <xf numFmtId="0" fontId="19" fillId="15" borderId="22" xfId="0" applyFont="1" applyFill="1" applyBorder="1" applyAlignment="1">
      <alignment horizontal="center" vertical="center"/>
    </xf>
    <xf numFmtId="0" fontId="19" fillId="15" borderId="21" xfId="0" applyFont="1" applyFill="1" applyBorder="1" applyAlignment="1">
      <alignment horizontal="center" vertical="center"/>
    </xf>
    <xf numFmtId="0" fontId="20" fillId="15" borderId="20" xfId="0" applyFont="1" applyFill="1" applyBorder="1" applyAlignment="1">
      <alignment horizontal="center" vertical="center" wrapText="1"/>
    </xf>
    <xf numFmtId="0" fontId="20" fillId="15" borderId="22" xfId="0" applyFont="1" applyFill="1" applyBorder="1" applyAlignment="1">
      <alignment horizontal="center" vertical="center" wrapText="1"/>
    </xf>
    <xf numFmtId="0" fontId="20" fillId="15" borderId="21" xfId="0" applyFont="1" applyFill="1" applyBorder="1" applyAlignment="1">
      <alignment horizontal="center" vertical="center" wrapText="1"/>
    </xf>
    <xf numFmtId="10" fontId="21" fillId="15" borderId="20" xfId="0" applyNumberFormat="1" applyFont="1" applyFill="1" applyBorder="1" applyAlignment="1">
      <alignment horizontal="center" vertical="center" wrapText="1"/>
    </xf>
    <xf numFmtId="10" fontId="21" fillId="15" borderId="21" xfId="0" applyNumberFormat="1" applyFont="1" applyFill="1" applyBorder="1" applyAlignment="1">
      <alignment horizontal="center" vertical="center" wrapText="1"/>
    </xf>
    <xf numFmtId="10" fontId="21" fillId="15" borderId="22" xfId="0" applyNumberFormat="1" applyFont="1" applyFill="1" applyBorder="1" applyAlignment="1">
      <alignment horizontal="center" vertical="center" wrapText="1"/>
    </xf>
    <xf numFmtId="0" fontId="20" fillId="15" borderId="20" xfId="0" applyFont="1" applyFill="1" applyBorder="1" applyAlignment="1">
      <alignment horizontal="left" vertical="center"/>
    </xf>
    <xf numFmtId="0" fontId="20" fillId="15" borderId="21" xfId="0" applyFont="1" applyFill="1" applyBorder="1" applyAlignment="1">
      <alignment horizontal="left" vertical="center"/>
    </xf>
    <xf numFmtId="0" fontId="20" fillId="15" borderId="20" xfId="0" applyFont="1" applyFill="1" applyBorder="1" applyAlignment="1">
      <alignment horizontal="center" vertical="center"/>
    </xf>
    <xf numFmtId="0" fontId="20" fillId="15" borderId="22" xfId="0" applyFont="1" applyFill="1" applyBorder="1" applyAlignment="1">
      <alignment horizontal="center" vertical="center"/>
    </xf>
    <xf numFmtId="0" fontId="20" fillId="15" borderId="21" xfId="0" applyFont="1" applyFill="1" applyBorder="1" applyAlignment="1">
      <alignment horizontal="center" vertical="center"/>
    </xf>
    <xf numFmtId="0" fontId="18" fillId="16" borderId="24" xfId="0" applyFont="1" applyFill="1" applyBorder="1" applyAlignment="1">
      <alignment horizontal="center" vertical="center" wrapText="1"/>
    </xf>
    <xf numFmtId="0" fontId="18" fillId="16" borderId="27" xfId="0" applyFont="1" applyFill="1" applyBorder="1" applyAlignment="1">
      <alignment horizontal="center" vertical="center" wrapText="1"/>
    </xf>
    <xf numFmtId="0" fontId="18" fillId="16" borderId="23" xfId="0" applyFont="1" applyFill="1" applyBorder="1" applyAlignment="1">
      <alignment horizontal="center" vertical="center" wrapText="1"/>
    </xf>
    <xf numFmtId="0" fontId="18" fillId="16" borderId="28" xfId="0" applyFont="1" applyFill="1" applyBorder="1" applyAlignment="1">
      <alignment horizontal="center" vertical="center" wrapText="1"/>
    </xf>
    <xf numFmtId="9" fontId="19" fillId="15" borderId="22" xfId="0" applyNumberFormat="1" applyFont="1" applyFill="1" applyBorder="1" applyAlignment="1">
      <alignment horizontal="center" vertical="center" wrapText="1"/>
    </xf>
    <xf numFmtId="9" fontId="19" fillId="15" borderId="21" xfId="0" applyNumberFormat="1" applyFont="1" applyFill="1" applyBorder="1" applyAlignment="1">
      <alignment horizontal="center" vertical="center" wrapText="1"/>
    </xf>
    <xf numFmtId="0" fontId="19" fillId="15" borderId="22" xfId="0" applyFont="1" applyFill="1" applyBorder="1" applyAlignment="1">
      <alignment horizontal="center" vertical="center" wrapText="1"/>
    </xf>
    <xf numFmtId="0" fontId="18" fillId="16" borderId="25" xfId="0" applyFont="1" applyFill="1" applyBorder="1" applyAlignment="1">
      <alignment horizontal="center" vertical="center" wrapText="1"/>
    </xf>
    <xf numFmtId="0" fontId="18" fillId="16" borderId="26" xfId="0" applyFont="1" applyFill="1" applyBorder="1" applyAlignment="1">
      <alignment horizontal="center" vertical="center" wrapText="1"/>
    </xf>
  </cellXfs>
  <cellStyles count="9">
    <cellStyle name="Check Cell" xfId="8" builtinId="23"/>
    <cellStyle name="Comma [0]" xfId="1" builtinId="6"/>
    <cellStyle name="Comma [0] 2" xfId="5" xr:uid="{00000000-0005-0000-0000-000002000000}"/>
    <cellStyle name="Good" xfId="7" builtinId="26"/>
    <cellStyle name="Normal" xfId="0" builtinId="0"/>
    <cellStyle name="Normal 2" xfId="4" xr:uid="{00000000-0005-0000-0000-000005000000}"/>
    <cellStyle name="Normal 3" xfId="3" xr:uid="{00000000-0005-0000-0000-000006000000}"/>
    <cellStyle name="Percent" xfId="2" builtinId="5"/>
    <cellStyle name="Percent 2" xfId="6" xr:uid="{00000000-0005-0000-0000-000008000000}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14" formatCode="0.00%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3300"/>
      <color rgb="FFFF0066"/>
      <color rgb="FF224783"/>
      <color rgb="FF00C4CC"/>
      <color rgb="FF99FF33"/>
      <color rgb="FFFF66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376135025112674"/>
          <c:y val="9.844734863171585E-2"/>
          <c:w val="0.68815811110757386"/>
          <c:h val="0.8031055820808467"/>
        </c:manualLayout>
      </c:layout>
      <c:radarChart>
        <c:radarStyle val="marker"/>
        <c:varyColors val="0"/>
        <c:ser>
          <c:idx val="0"/>
          <c:order val="0"/>
          <c:tx>
            <c:strRef>
              <c:f>DATA!$K$2</c:f>
              <c:strCache>
                <c:ptCount val="1"/>
                <c:pt idx="0">
                  <c:v> Tanjung Pinang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pPr>
                <a:solidFill>
                  <a:schemeClr val="tx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880-49DA-AD18-7BFBCD162EF9}"/>
              </c:ext>
            </c:extLst>
          </c:dPt>
          <c:dPt>
            <c:idx val="1"/>
            <c:marker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880-49DA-AD18-7BFBCD162EF9}"/>
              </c:ext>
            </c:extLst>
          </c:dPt>
          <c:dPt>
            <c:idx val="2"/>
            <c:marker>
              <c:spPr>
                <a:solidFill>
                  <a:srgbClr val="92D05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C880-49DA-AD18-7BFBCD162EF9}"/>
              </c:ext>
            </c:extLst>
          </c:dPt>
          <c:dPt>
            <c:idx val="3"/>
            <c:marker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C880-49DA-AD18-7BFBCD162E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DATA!$L$3:$Q$3</c:f>
              <c:strCache>
                <c:ptCount val="6"/>
                <c:pt idx="0">
                  <c:v>Amanah</c:v>
                </c:pt>
                <c:pt idx="1">
                  <c:v>Kompeten</c:v>
                </c:pt>
                <c:pt idx="2">
                  <c:v>Harmonis</c:v>
                </c:pt>
                <c:pt idx="3">
                  <c:v>Loyal</c:v>
                </c:pt>
                <c:pt idx="4">
                  <c:v>Adaptif</c:v>
                </c:pt>
                <c:pt idx="5">
                  <c:v>Kolaboratif</c:v>
                </c:pt>
              </c:strCache>
            </c:strRef>
          </c:cat>
          <c:val>
            <c:numRef>
              <c:f>DATA!$L$2:$Q$2</c:f>
              <c:numCache>
                <c:formatCode>0.00%</c:formatCode>
                <c:ptCount val="6"/>
                <c:pt idx="0">
                  <c:v>1</c:v>
                </c:pt>
                <c:pt idx="1">
                  <c:v>0.66800000000000004</c:v>
                </c:pt>
                <c:pt idx="2">
                  <c:v>0.76</c:v>
                </c:pt>
                <c:pt idx="3">
                  <c:v>4.5800000000000007E-2</c:v>
                </c:pt>
                <c:pt idx="4">
                  <c:v>1</c:v>
                </c:pt>
                <c:pt idx="5">
                  <c:v>0.77675000000000005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80-49DA-AD18-7BFBCD162EF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-1767522560"/>
        <c:axId val="-1767522016"/>
      </c:radarChart>
      <c:catAx>
        <c:axId val="-176752256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-1767522016"/>
        <c:crosses val="autoZero"/>
        <c:auto val="1"/>
        <c:lblAlgn val="ctr"/>
        <c:lblOffset val="100"/>
        <c:noMultiLvlLbl val="0"/>
      </c:catAx>
      <c:valAx>
        <c:axId val="-176752201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-176752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56D6-4748-B33A-5C2E0F38340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56D6-4748-B33A-5C2E0F38340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56D6-4748-B33A-5C2E0F38340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56D6-4748-B33A-5C2E0F38340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DATA!$L$3:$Q$3</c:f>
              <c:strCache>
                <c:ptCount val="6"/>
                <c:pt idx="0">
                  <c:v>Amanah</c:v>
                </c:pt>
                <c:pt idx="1">
                  <c:v>Kompeten</c:v>
                </c:pt>
                <c:pt idx="2">
                  <c:v>Harmonis</c:v>
                </c:pt>
                <c:pt idx="3">
                  <c:v>Loyal</c:v>
                </c:pt>
                <c:pt idx="4">
                  <c:v>Adaptif</c:v>
                </c:pt>
                <c:pt idx="5">
                  <c:v>Kolaboratif</c:v>
                </c:pt>
              </c:strCache>
            </c:strRef>
          </c:cat>
          <c:val>
            <c:numRef>
              <c:f>DATA!$L$4:$Q$4</c:f>
              <c:numCache>
                <c:formatCode>0%</c:formatCode>
                <c:ptCount val="6"/>
                <c:pt idx="0">
                  <c:v>1</c:v>
                </c:pt>
                <c:pt idx="1">
                  <c:v>0.66800000000000004</c:v>
                </c:pt>
                <c:pt idx="2">
                  <c:v>0.76</c:v>
                </c:pt>
                <c:pt idx="3">
                  <c:v>#N/A</c:v>
                </c:pt>
                <c:pt idx="4">
                  <c:v>1</c:v>
                </c:pt>
                <c:pt idx="5">
                  <c:v>0.77675000000000005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D6-4748-B33A-5C2E0F383400}"/>
            </c:ext>
          </c:extLst>
        </c:ser>
        <c:ser>
          <c:idx val="1"/>
          <c:order val="1"/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DATA!$L$3:$Q$3</c:f>
              <c:strCache>
                <c:ptCount val="6"/>
                <c:pt idx="0">
                  <c:v>Amanah</c:v>
                </c:pt>
                <c:pt idx="1">
                  <c:v>Kompeten</c:v>
                </c:pt>
                <c:pt idx="2">
                  <c:v>Harmonis</c:v>
                </c:pt>
                <c:pt idx="3">
                  <c:v>Loyal</c:v>
                </c:pt>
                <c:pt idx="4">
                  <c:v>Adaptif</c:v>
                </c:pt>
                <c:pt idx="5">
                  <c:v>Kolaboratif</c:v>
                </c:pt>
              </c:strCache>
            </c:strRef>
          </c:cat>
          <c:val>
            <c:numRef>
              <c:f>DATA!$L$5:$Q$5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0D-4930-9BDE-CBDE09C23A8D}"/>
            </c:ext>
          </c:extLst>
        </c:ser>
        <c:ser>
          <c:idx val="2"/>
          <c:order val="2"/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DATA!$L$3:$Q$3</c:f>
              <c:strCache>
                <c:ptCount val="6"/>
                <c:pt idx="0">
                  <c:v>Amanah</c:v>
                </c:pt>
                <c:pt idx="1">
                  <c:v>Kompeten</c:v>
                </c:pt>
                <c:pt idx="2">
                  <c:v>Harmonis</c:v>
                </c:pt>
                <c:pt idx="3">
                  <c:v>Loyal</c:v>
                </c:pt>
                <c:pt idx="4">
                  <c:v>Adaptif</c:v>
                </c:pt>
                <c:pt idx="5">
                  <c:v>Kolaboratif</c:v>
                </c:pt>
              </c:strCache>
            </c:strRef>
          </c:cat>
          <c:val>
            <c:numRef>
              <c:f>DATA!$L$6:$Q$6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4.5800000000000007E-2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0D-4930-9BDE-CBDE09C23A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4"/>
        <c:overlap val="100"/>
        <c:axId val="-1767526368"/>
        <c:axId val="-1767525824"/>
      </c:barChart>
      <c:catAx>
        <c:axId val="-1767526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-1767525824"/>
        <c:crosses val="autoZero"/>
        <c:auto val="1"/>
        <c:lblAlgn val="ctr"/>
        <c:lblOffset val="100"/>
        <c:noMultiLvlLbl val="0"/>
      </c:catAx>
      <c:valAx>
        <c:axId val="-176752582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-1767526368"/>
        <c:crossesAt val="1"/>
        <c:crossBetween val="between"/>
      </c:valAx>
      <c:spPr>
        <a:noFill/>
        <a:ln>
          <a:noFill/>
        </a:ln>
        <a:effectLst/>
        <a:sp3d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>
          <a:lumMod val="15000"/>
          <a:lumOff val="85000"/>
        </a:schemeClr>
      </a:solidFill>
      <a:round/>
    </a:ln>
    <a:effectLst>
      <a:glow>
        <a:schemeClr val="accent1">
          <a:alpha val="30000"/>
        </a:schemeClr>
      </a:glow>
      <a:outerShdw blurRad="50800" dist="50800" dir="5400000" algn="ctr" rotWithShape="0">
        <a:srgbClr val="000000">
          <a:alpha val="0"/>
        </a:srgbClr>
      </a:outerShdw>
    </a:effectLst>
    <a:scene3d>
      <a:camera prst="orthographicFront"/>
      <a:lightRig rig="threePt" dir="t"/>
    </a:scene3d>
    <a:sp3d>
      <a:bevelT/>
      <a:bevelB/>
    </a:sp3d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ist" dx="22" fmlaLink="DATA!$L$1" fmlaRange="DATA!$B$2:$B$20" sel="6" val="0"/>
</file>

<file path=xl/ctrlProps/ctrlProp2.xml><?xml version="1.0" encoding="utf-8"?>
<formControlPr xmlns="http://schemas.microsoft.com/office/spreadsheetml/2009/9/main" objectType="Spin" dx="22" fmlaLink="$J$20" max="30000" page="10"/>
</file>

<file path=xl/ctrlProps/ctrlProp3.xml><?xml version="1.0" encoding="utf-8"?>
<formControlPr xmlns="http://schemas.microsoft.com/office/spreadsheetml/2009/9/main" objectType="Spin" dx="22" fmlaLink="$J$21" max="30000" page="10" val="6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3060</xdr:colOff>
      <xdr:row>3</xdr:row>
      <xdr:rowOff>115318</xdr:rowOff>
    </xdr:from>
    <xdr:to>
      <xdr:col>3</xdr:col>
      <xdr:colOff>580076</xdr:colOff>
      <xdr:row>9</xdr:row>
      <xdr:rowOff>63611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10279" y="615381"/>
          <a:ext cx="1791453" cy="948418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1</xdr:col>
      <xdr:colOff>325890</xdr:colOff>
      <xdr:row>7</xdr:row>
      <xdr:rowOff>14966</xdr:rowOff>
    </xdr:from>
    <xdr:to>
      <xdr:col>3</xdr:col>
      <xdr:colOff>326571</xdr:colOff>
      <xdr:row>9</xdr:row>
      <xdr:rowOff>68037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475819" y="1157966"/>
          <a:ext cx="1225323" cy="3796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d-ID" sz="2000" b="1">
              <a:solidFill>
                <a:sysClr val="windowText" lastClr="000000"/>
              </a:solidFill>
            </a:rPr>
            <a:t>AMANAH</a:t>
          </a:r>
          <a:endParaRPr lang="id-ID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21167</xdr:colOff>
      <xdr:row>5</xdr:row>
      <xdr:rowOff>20064</xdr:rowOff>
    </xdr:from>
    <xdr:to>
      <xdr:col>3</xdr:col>
      <xdr:colOff>582083</xdr:colOff>
      <xdr:row>7</xdr:row>
      <xdr:rowOff>13700</xdr:rowOff>
    </xdr:to>
    <xdr:sp macro="" textlink="DATA!L2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180167" y="813814"/>
          <a:ext cx="1788583" cy="311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3D15C8F-50C3-4E32-8B38-EA2EFB2256FB}" type="TxLink">
            <a:rPr lang="en-US" sz="32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100,00%</a:t>
          </a:fld>
          <a:endParaRPr lang="id-ID" sz="3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68255</xdr:colOff>
      <xdr:row>3</xdr:row>
      <xdr:rowOff>103411</xdr:rowOff>
    </xdr:from>
    <xdr:to>
      <xdr:col>13</xdr:col>
      <xdr:colOff>30973</xdr:colOff>
      <xdr:row>9</xdr:row>
      <xdr:rowOff>51704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7729076" y="593268"/>
          <a:ext cx="1799683" cy="928007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95251</xdr:colOff>
      <xdr:row>5</xdr:row>
      <xdr:rowOff>12285</xdr:rowOff>
    </xdr:from>
    <xdr:to>
      <xdr:col>13</xdr:col>
      <xdr:colOff>42333</xdr:colOff>
      <xdr:row>7</xdr:row>
      <xdr:rowOff>48098</xdr:rowOff>
    </xdr:to>
    <xdr:sp macro="" textlink="DATA!O2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778751" y="806035"/>
          <a:ext cx="1788582" cy="353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2BF108A-2271-46F2-B7A9-3EE4573412EA}" type="TxLink">
            <a:rPr lang="en-US" sz="32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4,58%</a:t>
          </a:fld>
          <a:endParaRPr lang="id-ID" sz="3200" b="1"/>
        </a:p>
      </xdr:txBody>
    </xdr:sp>
    <xdr:clientData/>
  </xdr:twoCellAnchor>
  <xdr:twoCellAnchor>
    <xdr:from>
      <xdr:col>4</xdr:col>
      <xdr:colOff>67049</xdr:colOff>
      <xdr:row>3</xdr:row>
      <xdr:rowOff>103411</xdr:rowOff>
    </xdr:from>
    <xdr:to>
      <xdr:col>7</xdr:col>
      <xdr:colOff>29768</xdr:colOff>
      <xdr:row>9</xdr:row>
      <xdr:rowOff>51704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3942" y="593268"/>
          <a:ext cx="1799683" cy="928007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4</xdr:col>
      <xdr:colOff>84667</xdr:colOff>
      <xdr:row>5</xdr:row>
      <xdr:rowOff>15907</xdr:rowOff>
    </xdr:from>
    <xdr:to>
      <xdr:col>7</xdr:col>
      <xdr:colOff>10582</xdr:colOff>
      <xdr:row>7</xdr:row>
      <xdr:rowOff>6141</xdr:rowOff>
    </xdr:to>
    <xdr:sp macro="" textlink="DATA!M2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085167" y="809657"/>
          <a:ext cx="1767415" cy="3077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A784386-A2FC-47AC-B2BC-532AA1DBF0EA}" type="TxLink">
            <a:rPr lang="en-US" sz="32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66,80%</a:t>
          </a:fld>
          <a:endParaRPr lang="id-ID" sz="3200" b="1"/>
        </a:p>
      </xdr:txBody>
    </xdr:sp>
    <xdr:clientData/>
  </xdr:twoCellAnchor>
  <xdr:twoCellAnchor>
    <xdr:from>
      <xdr:col>7</xdr:col>
      <xdr:colOff>107825</xdr:colOff>
      <xdr:row>3</xdr:row>
      <xdr:rowOff>91505</xdr:rowOff>
    </xdr:from>
    <xdr:to>
      <xdr:col>10</xdr:col>
      <xdr:colOff>10752</xdr:colOff>
      <xdr:row>9</xdr:row>
      <xdr:rowOff>39798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931682" y="581362"/>
          <a:ext cx="1739891" cy="92800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7</xdr:col>
      <xdr:colOff>127000</xdr:colOff>
      <xdr:row>5</xdr:row>
      <xdr:rowOff>36393</xdr:rowOff>
    </xdr:from>
    <xdr:to>
      <xdr:col>9</xdr:col>
      <xdr:colOff>603250</xdr:colOff>
      <xdr:row>7</xdr:row>
      <xdr:rowOff>30029</xdr:rowOff>
    </xdr:to>
    <xdr:sp macro="" textlink="DATA!N2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5969000" y="830143"/>
          <a:ext cx="1703917" cy="311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569B6C-6B2B-4A11-ADB2-554062770BC8}" type="TxLink">
            <a:rPr lang="en-US" sz="32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76,00%</a:t>
          </a:fld>
          <a:endParaRPr lang="id-ID" sz="3200" b="1"/>
        </a:p>
      </xdr:txBody>
    </xdr:sp>
    <xdr:clientData/>
  </xdr:twoCellAnchor>
  <xdr:twoCellAnchor>
    <xdr:from>
      <xdr:col>15</xdr:col>
      <xdr:colOff>466724</xdr:colOff>
      <xdr:row>7</xdr:row>
      <xdr:rowOff>19050</xdr:rowOff>
    </xdr:from>
    <xdr:to>
      <xdr:col>16</xdr:col>
      <xdr:colOff>438149</xdr:colOff>
      <xdr:row>8</xdr:row>
      <xdr:rowOff>114300</xdr:rowOff>
    </xdr:to>
    <xdr:sp macro="" textlink="DATA!R4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9660420" y="1178615"/>
          <a:ext cx="584338" cy="2609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12657C5-9C4F-4A01-8732-35CC6AA24812}" type="TxLink">
            <a:rPr lang="en-US" sz="1400" b="1" i="0" u="none" strike="noStrike">
              <a:solidFill>
                <a:schemeClr val="bg1"/>
              </a:solidFill>
              <a:latin typeface="Arial"/>
              <a:cs typeface="Arial"/>
            </a:rPr>
            <a:pPr algn="r"/>
            <a:t> </a:t>
          </a:fld>
          <a:endParaRPr lang="id-ID" sz="14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371475</xdr:colOff>
          <xdr:row>11</xdr:row>
          <xdr:rowOff>47625</xdr:rowOff>
        </xdr:from>
        <xdr:to>
          <xdr:col>20</xdr:col>
          <xdr:colOff>419100</xdr:colOff>
          <xdr:row>25</xdr:row>
          <xdr:rowOff>66675</xdr:rowOff>
        </xdr:to>
        <xdr:sp macro="" textlink="">
          <xdr:nvSpPr>
            <xdr:cNvPr id="2052" name="List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380999</xdr:colOff>
      <xdr:row>11</xdr:row>
      <xdr:rowOff>83343</xdr:rowOff>
    </xdr:from>
    <xdr:to>
      <xdr:col>16</xdr:col>
      <xdr:colOff>261937</xdr:colOff>
      <xdr:row>33</xdr:row>
      <xdr:rowOff>11905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4141</xdr:colOff>
      <xdr:row>11</xdr:row>
      <xdr:rowOff>89555</xdr:rowOff>
    </xdr:from>
    <xdr:to>
      <xdr:col>9</xdr:col>
      <xdr:colOff>261938</xdr:colOff>
      <xdr:row>32</xdr:row>
      <xdr:rowOff>119061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98195</xdr:colOff>
      <xdr:row>3</xdr:row>
      <xdr:rowOff>78918</xdr:rowOff>
    </xdr:from>
    <xdr:to>
      <xdr:col>16</xdr:col>
      <xdr:colOff>60914</xdr:colOff>
      <xdr:row>9</xdr:row>
      <xdr:rowOff>27211</xdr:rowOff>
    </xdr:to>
    <xdr:sp macro="" textlink="">
      <xdr:nvSpPr>
        <xdr:cNvPr id="25" name="Rectangle: Rounded Corners 1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9595981" y="568775"/>
          <a:ext cx="1799683" cy="928007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13</xdr:col>
      <xdr:colOff>105834</xdr:colOff>
      <xdr:row>4</xdr:row>
      <xdr:rowOff>141175</xdr:rowOff>
    </xdr:from>
    <xdr:to>
      <xdr:col>16</xdr:col>
      <xdr:colOff>52918</xdr:colOff>
      <xdr:row>7</xdr:row>
      <xdr:rowOff>70852</xdr:rowOff>
    </xdr:to>
    <xdr:sp macro="" textlink="DATA!P2">
      <xdr:nvSpPr>
        <xdr:cNvPr id="26" name="TextBox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9630834" y="776175"/>
          <a:ext cx="1788584" cy="4059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385BC5-41C5-473B-BDBB-9BFFCCFE68B1}" type="TxLink">
            <a:rPr lang="en-US" sz="32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100,00%</a:t>
          </a:fld>
          <a:endParaRPr lang="id-ID" sz="3200" b="1"/>
        </a:p>
      </xdr:txBody>
    </xdr:sp>
    <xdr:clientData/>
  </xdr:twoCellAnchor>
  <xdr:twoCellAnchor>
    <xdr:from>
      <xdr:col>4</xdr:col>
      <xdr:colOff>233365</xdr:colOff>
      <xdr:row>7</xdr:row>
      <xdr:rowOff>31292</xdr:rowOff>
    </xdr:from>
    <xdr:to>
      <xdr:col>6</xdr:col>
      <xdr:colOff>536625</xdr:colOff>
      <xdr:row>9</xdr:row>
      <xdr:rowOff>24928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4224794" y="1142542"/>
          <a:ext cx="1527902" cy="311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d-ID" sz="2000" b="1">
              <a:solidFill>
                <a:sysClr val="windowText" lastClr="000000"/>
              </a:solidFill>
            </a:rPr>
            <a:t>KOMPETEN</a:t>
          </a:r>
          <a:endParaRPr lang="id-ID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304126</xdr:colOff>
      <xdr:row>7</xdr:row>
      <xdr:rowOff>20408</xdr:rowOff>
    </xdr:from>
    <xdr:to>
      <xdr:col>9</xdr:col>
      <xdr:colOff>607386</xdr:colOff>
      <xdr:row>9</xdr:row>
      <xdr:rowOff>14044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6127983" y="1163408"/>
          <a:ext cx="1527903" cy="3202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d-ID" sz="2000" b="1">
              <a:solidFill>
                <a:sysClr val="windowText" lastClr="000000"/>
              </a:solidFill>
            </a:rPr>
            <a:t>HARMONIS</a:t>
          </a:r>
          <a:endParaRPr lang="id-ID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565386</xdr:colOff>
      <xdr:row>7</xdr:row>
      <xdr:rowOff>0</xdr:rowOff>
    </xdr:from>
    <xdr:to>
      <xdr:col>12</xdr:col>
      <xdr:colOff>476248</xdr:colOff>
      <xdr:row>9</xdr:row>
      <xdr:rowOff>16766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8226207" y="1143000"/>
          <a:ext cx="1135505" cy="3433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d-ID" sz="2000" b="1">
              <a:solidFill>
                <a:sysClr val="windowText" lastClr="000000"/>
              </a:solidFill>
            </a:rPr>
            <a:t>LOYAL</a:t>
          </a:r>
          <a:endParaRPr lang="id-ID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459255</xdr:colOff>
      <xdr:row>7</xdr:row>
      <xdr:rowOff>0</xdr:rowOff>
    </xdr:from>
    <xdr:to>
      <xdr:col>15</xdr:col>
      <xdr:colOff>476248</xdr:colOff>
      <xdr:row>9</xdr:row>
      <xdr:rowOff>73916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9957041" y="1143000"/>
          <a:ext cx="1241636" cy="400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d-ID" sz="2000" b="1">
              <a:solidFill>
                <a:sysClr val="windowText" lastClr="000000"/>
              </a:solidFill>
            </a:rPr>
            <a:t>ADAPTIF</a:t>
          </a:r>
          <a:endParaRPr lang="id-ID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141720</xdr:colOff>
      <xdr:row>3</xdr:row>
      <xdr:rowOff>81641</xdr:rowOff>
    </xdr:from>
    <xdr:to>
      <xdr:col>19</xdr:col>
      <xdr:colOff>104439</xdr:colOff>
      <xdr:row>9</xdr:row>
      <xdr:rowOff>29934</xdr:rowOff>
    </xdr:to>
    <xdr:sp macro="" textlink="">
      <xdr:nvSpPr>
        <xdr:cNvPr id="31" name="Rectangle: Rounded Corners 14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1476470" y="571498"/>
          <a:ext cx="1799683" cy="928007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16</xdr:col>
      <xdr:colOff>158750</xdr:colOff>
      <xdr:row>5</xdr:row>
      <xdr:rowOff>3401</xdr:rowOff>
    </xdr:from>
    <xdr:to>
      <xdr:col>19</xdr:col>
      <xdr:colOff>95249</xdr:colOff>
      <xdr:row>7</xdr:row>
      <xdr:rowOff>48061</xdr:rowOff>
    </xdr:to>
    <xdr:sp macro="" textlink="DATA!Q2">
      <xdr:nvSpPr>
        <xdr:cNvPr id="32" name="TextBox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1525250" y="797151"/>
          <a:ext cx="1777999" cy="362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FAB3843-8256-4430-821A-36E903719EC1}" type="TxLink">
            <a:rPr lang="en-US" sz="32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77,68%</a:t>
          </a:fld>
          <a:endParaRPr lang="id-ID" sz="3200" b="1"/>
        </a:p>
      </xdr:txBody>
    </xdr:sp>
    <xdr:clientData/>
  </xdr:twoCellAnchor>
  <xdr:twoCellAnchor>
    <xdr:from>
      <xdr:col>16</xdr:col>
      <xdr:colOff>271460</xdr:colOff>
      <xdr:row>7</xdr:row>
      <xdr:rowOff>28575</xdr:rowOff>
    </xdr:from>
    <xdr:to>
      <xdr:col>19</xdr:col>
      <xdr:colOff>71437</xdr:colOff>
      <xdr:row>9</xdr:row>
      <xdr:rowOff>22211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11534773" y="1195388"/>
          <a:ext cx="1621633" cy="3270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d-ID" sz="1800" b="1">
              <a:solidFill>
                <a:sysClr val="windowText" lastClr="000000"/>
              </a:solidFill>
            </a:rPr>
            <a:t>KOLABORATIF</a:t>
          </a:r>
          <a:endParaRPr lang="id-ID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18</xdr:row>
          <xdr:rowOff>9525</xdr:rowOff>
        </xdr:from>
        <xdr:to>
          <xdr:col>10</xdr:col>
          <xdr:colOff>476250</xdr:colOff>
          <xdr:row>20</xdr:row>
          <xdr:rowOff>0</xdr:rowOff>
        </xdr:to>
        <xdr:sp macro="" textlink="">
          <xdr:nvSpPr>
            <xdr:cNvPr id="6145" name="Spinne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235324</xdr:colOff>
      <xdr:row>25</xdr:row>
      <xdr:rowOff>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35324" y="85164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id-ID" sz="1100"/>
        </a:p>
      </xdr:txBody>
    </xdr:sp>
    <xdr:clientData/>
  </xdr:oneCellAnchor>
  <xdr:oneCellAnchor>
    <xdr:from>
      <xdr:col>2</xdr:col>
      <xdr:colOff>403315</xdr:colOff>
      <xdr:row>24</xdr:row>
      <xdr:rowOff>122868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422490" y="85143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id-ID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19</xdr:row>
          <xdr:rowOff>9525</xdr:rowOff>
        </xdr:from>
        <xdr:to>
          <xdr:col>10</xdr:col>
          <xdr:colOff>495300</xdr:colOff>
          <xdr:row>21</xdr:row>
          <xdr:rowOff>0</xdr:rowOff>
        </xdr:to>
        <xdr:sp macro="" textlink="">
          <xdr:nvSpPr>
            <xdr:cNvPr id="7170" name="Spinner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NI%20SPARTAN/2021/ROCE%202021/2.%20Roce%20Februari/Data%20Masuk%20Februari/BISTERLOG/Template%20Level%20of%20Service%20N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local\Downloads\Nilai\Ledg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vel Of Service"/>
      <sheetName val="Level Of Service 0.2"/>
      <sheetName val="Sheet1"/>
      <sheetName val="Sheet2"/>
    </sheetNames>
    <sheetDataSet>
      <sheetData sheetId="0" refreshError="1"/>
      <sheetData sheetId="1" refreshError="1"/>
      <sheetData sheetId="2" refreshError="1">
        <row r="5">
          <cell r="A5">
            <v>2</v>
          </cell>
          <cell r="B5" t="str">
            <v>Kantor Pusat</v>
          </cell>
          <cell r="C5" t="str">
            <v>-</v>
          </cell>
          <cell r="D5" t="str">
            <v>-</v>
          </cell>
          <cell r="E5" t="str">
            <v>-</v>
          </cell>
          <cell r="F5" t="str">
            <v>-</v>
          </cell>
          <cell r="G5" t="str">
            <v>-</v>
          </cell>
          <cell r="H5" t="str">
            <v>-</v>
          </cell>
          <cell r="I5" t="str">
            <v>-</v>
          </cell>
        </row>
        <row r="6">
          <cell r="A6">
            <v>3</v>
          </cell>
          <cell r="B6" t="str">
            <v>Belawan</v>
          </cell>
          <cell r="C6">
            <v>0.6996</v>
          </cell>
          <cell r="D6">
            <v>0.528159029159046</v>
          </cell>
          <cell r="E6">
            <v>0.56155092468225498</v>
          </cell>
          <cell r="F6">
            <v>0.60292257093014301</v>
          </cell>
          <cell r="G6">
            <v>0.60109999999999997</v>
          </cell>
          <cell r="H6">
            <v>0.75494429553894515</v>
          </cell>
          <cell r="I6">
            <v>0.80267427770476696</v>
          </cell>
        </row>
        <row r="7">
          <cell r="A7">
            <v>4</v>
          </cell>
          <cell r="B7" t="str">
            <v>Dumai</v>
          </cell>
          <cell r="C7">
            <v>0.71870000000000001</v>
          </cell>
          <cell r="D7">
            <v>0.62290000000000001</v>
          </cell>
          <cell r="E7">
            <v>0.53749999999999998</v>
          </cell>
          <cell r="F7">
            <v>0.56140000000000001</v>
          </cell>
          <cell r="G7">
            <v>0.6018</v>
          </cell>
          <cell r="H7">
            <v>0.86670377069709192</v>
          </cell>
          <cell r="I7">
            <v>0.74787811326005282</v>
          </cell>
        </row>
        <row r="8">
          <cell r="A8">
            <v>5</v>
          </cell>
          <cell r="B8" t="str">
            <v xml:space="preserve">Terminal Petikemas Belawan </v>
          </cell>
          <cell r="C8">
            <v>0.77349999999999997</v>
          </cell>
          <cell r="D8">
            <v>0.76490000000000002</v>
          </cell>
          <cell r="E8">
            <v>0.75380000000000003</v>
          </cell>
          <cell r="F8">
            <v>0.76219999999999999</v>
          </cell>
          <cell r="G8">
            <v>0.74399999999999999</v>
          </cell>
          <cell r="H8">
            <v>1.0019</v>
          </cell>
          <cell r="I8">
            <v>0.98740000000000006</v>
          </cell>
        </row>
        <row r="9">
          <cell r="A9">
            <v>6</v>
          </cell>
          <cell r="B9" t="str">
            <v>Tanjung Pinang</v>
          </cell>
          <cell r="C9">
            <v>0.20330000000000001</v>
          </cell>
          <cell r="D9">
            <v>0.234026025192624</v>
          </cell>
          <cell r="E9">
            <v>0.26401829163915602</v>
          </cell>
          <cell r="F9">
            <v>0.23419074000791501</v>
          </cell>
          <cell r="G9">
            <v>0.2266</v>
          </cell>
          <cell r="H9">
            <v>1.15113637576303</v>
          </cell>
          <cell r="I9">
            <v>1.2986635102762223</v>
          </cell>
        </row>
        <row r="10">
          <cell r="A10">
            <v>7</v>
          </cell>
          <cell r="B10" t="str">
            <v>Pekanbaru</v>
          </cell>
          <cell r="C10">
            <v>0.52490000000000003</v>
          </cell>
          <cell r="D10">
            <v>0.44763010957810601</v>
          </cell>
          <cell r="E10">
            <v>0.40807077160885402</v>
          </cell>
          <cell r="F10">
            <v>0.37603736417360401</v>
          </cell>
          <cell r="G10">
            <v>0.31240000000000001</v>
          </cell>
          <cell r="H10">
            <v>0.85279121657097734</v>
          </cell>
          <cell r="I10">
            <v>0.77742574130092212</v>
          </cell>
        </row>
        <row r="11">
          <cell r="A11">
            <v>8</v>
          </cell>
          <cell r="B11" t="str">
            <v>Tanjung Balai Karimun</v>
          </cell>
          <cell r="C11">
            <v>0.22220000000000001</v>
          </cell>
          <cell r="D11">
            <v>0.22080679405520201</v>
          </cell>
          <cell r="E11">
            <v>0.19496021220159199</v>
          </cell>
          <cell r="F11">
            <v>0.124523743146548</v>
          </cell>
          <cell r="G11">
            <v>0.22869999999999999</v>
          </cell>
          <cell r="H11">
            <v>0.99372994624303335</v>
          </cell>
          <cell r="I11">
            <v>0.87740869577674163</v>
          </cell>
        </row>
        <row r="12">
          <cell r="A12">
            <v>9</v>
          </cell>
          <cell r="B12" t="str">
            <v>Kuala Tanjung</v>
          </cell>
          <cell r="C12" t="str">
            <v>-</v>
          </cell>
          <cell r="D12" t="str">
            <v>-</v>
          </cell>
          <cell r="E12" t="str">
            <v>-</v>
          </cell>
          <cell r="F12" t="str">
            <v>-</v>
          </cell>
          <cell r="G12" t="str">
            <v>-</v>
          </cell>
          <cell r="H12" t="str">
            <v>-</v>
          </cell>
          <cell r="I12" t="str">
            <v>-</v>
          </cell>
        </row>
        <row r="13">
          <cell r="A13">
            <v>10</v>
          </cell>
          <cell r="B13" t="str">
            <v>Batam</v>
          </cell>
          <cell r="C13" t="str">
            <v>-</v>
          </cell>
          <cell r="D13" t="str">
            <v>-</v>
          </cell>
          <cell r="E13" t="str">
            <v>-</v>
          </cell>
          <cell r="F13" t="str">
            <v>-</v>
          </cell>
          <cell r="G13" t="str">
            <v>-</v>
          </cell>
          <cell r="H13" t="str">
            <v>-</v>
          </cell>
          <cell r="I13" t="str">
            <v>-</v>
          </cell>
        </row>
        <row r="14">
          <cell r="A14">
            <v>11</v>
          </cell>
          <cell r="B14" t="str">
            <v>Sei Pakning</v>
          </cell>
          <cell r="C14" t="str">
            <v>-</v>
          </cell>
          <cell r="D14" t="str">
            <v>-</v>
          </cell>
          <cell r="E14" t="str">
            <v>-</v>
          </cell>
          <cell r="F14" t="str">
            <v>-</v>
          </cell>
          <cell r="G14" t="str">
            <v>-</v>
          </cell>
          <cell r="H14" t="str">
            <v>-</v>
          </cell>
          <cell r="I14" t="str">
            <v>-</v>
          </cell>
        </row>
        <row r="15">
          <cell r="A15">
            <v>12</v>
          </cell>
          <cell r="B15" t="str">
            <v>Sibolga</v>
          </cell>
          <cell r="C15">
            <v>0.5</v>
          </cell>
          <cell r="D15">
            <v>0.179436284239778</v>
          </cell>
          <cell r="E15">
            <v>0.46790540540540598</v>
          </cell>
          <cell r="F15">
            <v>0.29299999999999998</v>
          </cell>
          <cell r="G15">
            <v>0.38900000000000001</v>
          </cell>
          <cell r="H15">
            <v>0.35887256847955601</v>
          </cell>
          <cell r="I15">
            <v>0.93581081081081197</v>
          </cell>
        </row>
        <row r="16">
          <cell r="A16">
            <v>13</v>
          </cell>
          <cell r="B16" t="str">
            <v>Malahayati</v>
          </cell>
          <cell r="C16">
            <v>0.5</v>
          </cell>
          <cell r="D16">
            <v>0.53421200224341003</v>
          </cell>
          <cell r="E16">
            <v>0.55350853427255498</v>
          </cell>
          <cell r="F16">
            <v>0.46350832266325198</v>
          </cell>
          <cell r="G16">
            <v>0.5504</v>
          </cell>
          <cell r="H16">
            <v>1.0684240044868201</v>
          </cell>
          <cell r="I16">
            <v>1.10701706854511</v>
          </cell>
        </row>
        <row r="17">
          <cell r="A17">
            <v>14</v>
          </cell>
          <cell r="B17" t="str">
            <v>Lhokseumawe</v>
          </cell>
          <cell r="C17">
            <v>0.77439999999999998</v>
          </cell>
          <cell r="D17">
            <v>0.809362826462518</v>
          </cell>
          <cell r="E17">
            <v>0.79796115463032502</v>
          </cell>
          <cell r="F17">
            <v>0.89708490117209505</v>
          </cell>
          <cell r="G17">
            <v>0.86019999999999996</v>
          </cell>
          <cell r="H17">
            <v>1.045148277973293</v>
          </cell>
          <cell r="I17">
            <v>1.0304250447189114</v>
          </cell>
        </row>
        <row r="18">
          <cell r="A18">
            <v>15</v>
          </cell>
          <cell r="B18" t="str">
            <v>Tanjung Balai Asahan</v>
          </cell>
          <cell r="C18">
            <v>0.50029999999999997</v>
          </cell>
          <cell r="D18">
            <v>0.48706004140786802</v>
          </cell>
          <cell r="E18">
            <v>0.50068965517241404</v>
          </cell>
          <cell r="F18">
            <v>0.50637362637362604</v>
          </cell>
          <cell r="G18">
            <v>0.50870000000000004</v>
          </cell>
          <cell r="H18">
            <v>0.97353596123899266</v>
          </cell>
          <cell r="I18">
            <v>1.0007788430390048</v>
          </cell>
        </row>
        <row r="19">
          <cell r="A19">
            <v>16</v>
          </cell>
          <cell r="B19" t="str">
            <v>Tembilahan</v>
          </cell>
          <cell r="C19">
            <v>0.26290000000000002</v>
          </cell>
          <cell r="D19">
            <v>0.262862543564298</v>
          </cell>
          <cell r="E19">
            <v>0.29593453863320301</v>
          </cell>
          <cell r="F19">
            <v>0.28779990057821597</v>
          </cell>
          <cell r="G19">
            <v>0.38790000000000002</v>
          </cell>
          <cell r="H19">
            <v>0.99985752591973365</v>
          </cell>
          <cell r="I19">
            <v>1.1256543881065157</v>
          </cell>
        </row>
        <row r="20">
          <cell r="A20">
            <v>17</v>
          </cell>
          <cell r="B20" t="str">
            <v>Gunung Sitoli</v>
          </cell>
          <cell r="C20">
            <v>0.3125</v>
          </cell>
          <cell r="D20">
            <v>0.18304502911902701</v>
          </cell>
          <cell r="E20">
            <v>0.30003138656172301</v>
          </cell>
          <cell r="F20">
            <v>0.23914278365060301</v>
          </cell>
          <cell r="G20">
            <v>0.28620000000000001</v>
          </cell>
          <cell r="H20">
            <v>0.58574409318088638</v>
          </cell>
          <cell r="I20">
            <v>0.96010043699751368</v>
          </cell>
        </row>
        <row r="21">
          <cell r="A21">
            <v>18</v>
          </cell>
          <cell r="B21" t="str">
            <v>Unit Galangan Kapal</v>
          </cell>
          <cell r="C21" t="str">
            <v>-</v>
          </cell>
          <cell r="D21" t="str">
            <v>-</v>
          </cell>
          <cell r="E21" t="str">
            <v>-</v>
          </cell>
          <cell r="F21" t="str">
            <v>-</v>
          </cell>
          <cell r="G21" t="str">
            <v>-</v>
          </cell>
          <cell r="H21" t="str">
            <v>-</v>
          </cell>
          <cell r="I21" t="str">
            <v>-</v>
          </cell>
        </row>
      </sheetData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CABANG"/>
      <sheetName val="LEDGER"/>
      <sheetName val="RAPOR"/>
    </sheetNames>
    <sheetDataSet>
      <sheetData sheetId="0" refreshError="1"/>
      <sheetData sheetId="1">
        <row r="3">
          <cell r="B3" t="str">
            <v>Kantor Pusat</v>
          </cell>
        </row>
      </sheetData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0000000}" name="Table1314" displayName="Table1314" ref="A1:D18" totalsRowShown="0" headerRowDxfId="12">
  <autoFilter ref="A1:D18" xr:uid="{00000000-0009-0000-0100-00000D000000}"/>
  <sortState xmlns:xlrd2="http://schemas.microsoft.com/office/spreadsheetml/2017/richdata2" ref="A2:D18">
    <sortCondition ref="A1:A18"/>
  </sortState>
  <tableColumns count="4">
    <tableColumn id="1" xr3:uid="{00000000-0010-0000-0000-000001000000}" name="No"/>
    <tableColumn id="2" xr3:uid="{00000000-0010-0000-0000-000002000000}" name="Cabang Pelabuhan"/>
    <tableColumn id="3" xr3:uid="{00000000-0010-0000-0000-000003000000}" name="Total Akhir " dataDxfId="11">
      <calculatedColumnFormula>AVERAGE(DATA!I3)</calculatedColumnFormula>
    </tableColumn>
    <tableColumn id="4" xr3:uid="{00000000-0010-0000-0000-000004000000}" name="Ranking" dataDxfId="10">
      <calculatedColumnFormula>RANK(C2,$C$2:$C$19,0)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I20" totalsRowShown="0" headerRowDxfId="9" dataDxfId="8" dataCellStyle="Comma [0]">
  <tableColumns count="9">
    <tableColumn id="1" xr3:uid="{00000000-0010-0000-0100-000001000000}" name="ID" dataDxfId="7"/>
    <tableColumn id="2" xr3:uid="{00000000-0010-0000-0100-000002000000}" name="Cabang Pelabuhan"/>
    <tableColumn id="3" xr3:uid="{00000000-0010-0000-0100-000003000000}" name="AMANAH" dataDxfId="6" dataCellStyle="Comma [0]">
      <calculatedColumnFormula>VLOOKUP(Table1[[#This Row],[Cabang Pelabuhan]],[2]LEDGER!$B$3:$F$19,5,FALSE)</calculatedColumnFormula>
    </tableColumn>
    <tableColumn id="4" xr3:uid="{00000000-0010-0000-0100-000004000000}" name="KOMPETEN" dataDxfId="5" dataCellStyle="Comma [0]"/>
    <tableColumn id="5" xr3:uid="{00000000-0010-0000-0100-000005000000}" name="HARMONIS" dataDxfId="4" dataCellStyle="Comma [0]"/>
    <tableColumn id="6" xr3:uid="{00000000-0010-0000-0100-000006000000}" name="LOYAL" dataDxfId="3"/>
    <tableColumn id="7" xr3:uid="{00000000-0010-0000-0100-000007000000}" name="ADAPTIF" dataDxfId="2" dataCellStyle="Comma [0]"/>
    <tableColumn id="8" xr3:uid="{00000000-0010-0000-0100-000008000000}" name="KOLABORATIF" dataDxfId="1" dataCellStyle="Comma [0]"/>
    <tableColumn id="9" xr3:uid="{00000000-0010-0000-0100-000009000000}" name="Total Presentase (%)" dataDxfId="0" dataCellStyle="Comma [0]">
      <calculatedColumnFormula>AVERAGE(Table1[[#This Row],[AMANAH]:[KOLABORATIF]])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3300"/>
  </sheetPr>
  <dimension ref="B1:AA32"/>
  <sheetViews>
    <sheetView topLeftCell="A4" zoomScale="80" zoomScaleNormal="80" workbookViewId="0">
      <selection activeCell="X22" sqref="X22"/>
    </sheetView>
  </sheetViews>
  <sheetFormatPr defaultRowHeight="12.75" x14ac:dyDescent="0.2"/>
  <cols>
    <col min="1" max="1" width="9.140625" style="5" customWidth="1"/>
    <col min="2" max="10" width="9.140625" style="5"/>
    <col min="11" max="11" width="9.140625" style="5" customWidth="1"/>
    <col min="12" max="15" width="9.140625" style="5"/>
    <col min="16" max="16" width="9.140625" style="5" customWidth="1"/>
    <col min="17" max="19" width="9.140625" style="5"/>
    <col min="20" max="20" width="1.85546875" style="5" customWidth="1"/>
    <col min="21" max="21" width="9.140625" style="5"/>
    <col min="22" max="22" width="9.140625" style="51"/>
    <col min="23" max="25" width="9.140625" style="5"/>
    <col min="26" max="26" width="8.5703125" style="5" customWidth="1"/>
    <col min="27" max="27" width="0.5703125" style="5" hidden="1" customWidth="1"/>
    <col min="28" max="16384" width="9.140625" style="5"/>
  </cols>
  <sheetData>
    <row r="1" spans="2:27" x14ac:dyDescent="0.2">
      <c r="L1" s="5">
        <v>3</v>
      </c>
    </row>
    <row r="11" spans="2:27" ht="27.75" x14ac:dyDescent="0.2">
      <c r="B11" s="101" t="str">
        <f>DATA!K2</f>
        <v>Tanjung Pinang</v>
      </c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</row>
    <row r="12" spans="2:27" ht="24" customHeight="1" x14ac:dyDescent="0.2">
      <c r="V12" s="57" t="s">
        <v>61</v>
      </c>
      <c r="W12" s="102" t="s">
        <v>62</v>
      </c>
      <c r="X12" s="103"/>
      <c r="Y12" s="103"/>
      <c r="Z12" s="104"/>
      <c r="AA12" s="47"/>
    </row>
    <row r="13" spans="2:27" ht="15" x14ac:dyDescent="0.2">
      <c r="V13" s="53">
        <v>1</v>
      </c>
      <c r="W13" s="49" t="str">
        <f>INDEX(RANGKING!G5:G21,MATCH(RANGKING!H5,RANGKING!H5:H21,0))</f>
        <v>Tanjung Pinang</v>
      </c>
      <c r="X13" s="50"/>
      <c r="Y13" s="50"/>
      <c r="Z13" s="97"/>
      <c r="AA13" s="47"/>
    </row>
    <row r="14" spans="2:27" ht="15" x14ac:dyDescent="0.2">
      <c r="V14" s="53">
        <v>2</v>
      </c>
      <c r="W14" s="49" t="str">
        <f>INDEX(RANGKING!G6:G22,MATCH(RANGKING!H6,RANGKING!H6:H22,0))</f>
        <v>Gunung Sitoli</v>
      </c>
      <c r="X14" s="50"/>
      <c r="Y14" s="50"/>
      <c r="Z14" s="97"/>
      <c r="AA14" s="47"/>
    </row>
    <row r="15" spans="2:27" ht="15" x14ac:dyDescent="0.2">
      <c r="V15" s="53">
        <v>3</v>
      </c>
      <c r="W15" s="49" t="str">
        <f>INDEX(RANGKING!G7:G23,MATCH(RANGKING!H7,RANGKING!H7:H23,0))</f>
        <v>Kuala Tanjung</v>
      </c>
      <c r="X15" s="50"/>
      <c r="Y15" s="50"/>
      <c r="Z15" s="97"/>
      <c r="AA15" s="47"/>
    </row>
    <row r="16" spans="2:27" ht="15" x14ac:dyDescent="0.2">
      <c r="V16" s="53">
        <v>4</v>
      </c>
      <c r="W16" s="49" t="str">
        <f>INDEX(RANGKING!G8:G24,MATCH(RANGKING!H8,RANGKING!H8:H24,0))</f>
        <v>Sei Pakning</v>
      </c>
      <c r="X16" s="50"/>
      <c r="Y16" s="50"/>
      <c r="Z16" s="97"/>
      <c r="AA16" s="47"/>
    </row>
    <row r="17" spans="18:27" ht="15" x14ac:dyDescent="0.2">
      <c r="V17" s="53">
        <v>5</v>
      </c>
      <c r="W17" s="49" t="str">
        <f>INDEX(RANGKING!G9:G25,MATCH(RANGKING!H9,RANGKING!H9:H25,0))</f>
        <v>Lhokseumawe</v>
      </c>
      <c r="X17" s="50"/>
      <c r="Y17" s="50"/>
      <c r="Z17" s="97"/>
      <c r="AA17" s="47"/>
    </row>
    <row r="18" spans="18:27" ht="15" x14ac:dyDescent="0.2">
      <c r="V18" s="53">
        <v>6</v>
      </c>
      <c r="W18" s="49" t="str">
        <f>INDEX(RANGKING!G10:G26,MATCH(RANGKING!H10,RANGKING!H10:H26,0))</f>
        <v>Tanjung Balai Asahan</v>
      </c>
      <c r="X18" s="50"/>
      <c r="Y18" s="50"/>
      <c r="Z18" s="97"/>
      <c r="AA18" s="47"/>
    </row>
    <row r="19" spans="18:27" ht="15" x14ac:dyDescent="0.2">
      <c r="V19" s="53">
        <v>7</v>
      </c>
      <c r="W19" s="49" t="str">
        <f>INDEX(RANGKING!G11:G27,MATCH(RANGKING!H11,RANGKING!H11:H27,0))</f>
        <v>Unit Galangan Kapal</v>
      </c>
      <c r="X19" s="50"/>
      <c r="Y19" s="50"/>
      <c r="Z19" s="97"/>
      <c r="AA19" s="47"/>
    </row>
    <row r="20" spans="18:27" ht="15" x14ac:dyDescent="0.2">
      <c r="V20" s="53">
        <v>8</v>
      </c>
      <c r="W20" s="49" t="str">
        <f>INDEX(RANGKING!G12:G28,MATCH(RANGKING!H12,RANGKING!H12:H28,0))</f>
        <v>Tembilahan</v>
      </c>
      <c r="X20" s="50"/>
      <c r="Y20" s="50"/>
      <c r="Z20" s="97"/>
      <c r="AA20" s="47"/>
    </row>
    <row r="21" spans="18:27" ht="15" x14ac:dyDescent="0.2">
      <c r="V21" s="53">
        <v>9</v>
      </c>
      <c r="W21" s="49" t="str">
        <f>INDEX(RANGKING!G13:G29,MATCH(RANGKING!H13,RANGKING!H13:H29,0))</f>
        <v>Belawan</v>
      </c>
      <c r="X21" s="50"/>
      <c r="Y21" s="50"/>
      <c r="Z21" s="97"/>
      <c r="AA21" s="47"/>
    </row>
    <row r="22" spans="18:27" ht="15" x14ac:dyDescent="0.2">
      <c r="V22" s="53">
        <v>10</v>
      </c>
      <c r="W22" s="49" t="str">
        <f>INDEX(RANGKING!G14:G30,MATCH(RANGKING!H14,RANGKING!H14:H30,0))</f>
        <v>Dumai</v>
      </c>
      <c r="X22" s="50"/>
      <c r="Y22" s="50"/>
      <c r="Z22" s="97"/>
      <c r="AA22" s="47"/>
    </row>
    <row r="23" spans="18:27" ht="15" x14ac:dyDescent="0.2">
      <c r="V23" s="53">
        <v>11</v>
      </c>
      <c r="W23" s="49" t="str">
        <f>INDEX(RANGKING!G15:G31,MATCH(RANGKING!H15,RANGKING!H15:H31,0))</f>
        <v>Tanjung Balai Karimun</v>
      </c>
      <c r="X23" s="50"/>
      <c r="Y23" s="50"/>
      <c r="Z23" s="97"/>
      <c r="AA23" s="47"/>
    </row>
    <row r="24" spans="18:27" ht="15" x14ac:dyDescent="0.2">
      <c r="V24" s="53">
        <v>12</v>
      </c>
      <c r="W24" s="49" t="str">
        <f>INDEX(RANGKING!G16:G32,MATCH(RANGKING!H16,RANGKING!H16:H32,0))</f>
        <v>Malahayati</v>
      </c>
      <c r="X24" s="50"/>
      <c r="Y24" s="50"/>
      <c r="Z24" s="97"/>
      <c r="AA24" s="47"/>
    </row>
    <row r="25" spans="18:27" ht="15" x14ac:dyDescent="0.2">
      <c r="V25" s="53">
        <v>13</v>
      </c>
      <c r="W25" s="49" t="str">
        <f>INDEX(RANGKING!G17:G33,MATCH(RANGKING!H17,RANGKING!H17:H33,0))</f>
        <v>Sibolga</v>
      </c>
      <c r="X25" s="50"/>
      <c r="Y25" s="50"/>
      <c r="Z25" s="97"/>
      <c r="AA25" s="47"/>
    </row>
    <row r="26" spans="18:27" ht="15" x14ac:dyDescent="0.2">
      <c r="V26" s="53">
        <v>14</v>
      </c>
      <c r="W26" s="49" t="str">
        <f>INDEX(RANGKING!G18:G34,MATCH(RANGKING!H18,RANGKING!H18:H34,0))</f>
        <v>Pekan Baru</v>
      </c>
      <c r="X26" s="50"/>
      <c r="Y26" s="50"/>
      <c r="Z26" s="97"/>
      <c r="AA26" s="47"/>
    </row>
    <row r="27" spans="18:27" ht="17.25" customHeight="1" x14ac:dyDescent="0.2">
      <c r="V27" s="53">
        <v>15</v>
      </c>
      <c r="W27" s="49" t="str">
        <f>INDEX(RANGKING!G19:G35,MATCH(RANGKING!H19,RANGKING!H19:H35,0))</f>
        <v>Kantor Pusat</v>
      </c>
      <c r="X27" s="50"/>
      <c r="Y27" s="50"/>
      <c r="Z27" s="50"/>
      <c r="AA27" s="47"/>
    </row>
    <row r="28" spans="18:27" ht="15" x14ac:dyDescent="0.2">
      <c r="V28" s="53">
        <v>16</v>
      </c>
      <c r="W28" s="49" t="str">
        <f>INDEX(RANGKING!G20:G36,MATCH(RANGKING!H20,RANGKING!H20:H36,0))</f>
        <v>Batam</v>
      </c>
      <c r="X28" s="50"/>
      <c r="Y28" s="50"/>
      <c r="Z28" s="97"/>
      <c r="AA28" s="47"/>
    </row>
    <row r="29" spans="18:27" ht="15" x14ac:dyDescent="0.2">
      <c r="R29" s="54"/>
      <c r="V29" s="53">
        <v>17</v>
      </c>
      <c r="W29" s="49" t="str">
        <f>INDEX(RANGKING!G21:G37,MATCH(RANGKING!H21,RANGKING!H21:H37,0))</f>
        <v>TPK Belawan</v>
      </c>
      <c r="X29" s="96"/>
      <c r="Y29" s="50"/>
      <c r="Z29" s="97"/>
      <c r="AA29" s="48"/>
    </row>
    <row r="30" spans="18:27" x14ac:dyDescent="0.2">
      <c r="V30" s="52"/>
      <c r="W30" s="48"/>
      <c r="X30" s="48"/>
      <c r="Y30" s="48"/>
      <c r="Z30" s="48"/>
    </row>
    <row r="32" spans="18:27" x14ac:dyDescent="0.2">
      <c r="S32" s="55"/>
    </row>
  </sheetData>
  <mergeCells count="2">
    <mergeCell ref="B11:T11"/>
    <mergeCell ref="W12:Z12"/>
  </mergeCells>
  <pageMargins left="0.7" right="0.7" top="0.75" bottom="0.75" header="0.3" footer="0.3"/>
  <pageSetup paperSize="9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List Box 4">
              <controlPr defaultSize="0" autoLine="0" autoPict="0">
                <anchor>
                  <from>
                    <xdr:col>16</xdr:col>
                    <xdr:colOff>371475</xdr:colOff>
                    <xdr:row>11</xdr:row>
                    <xdr:rowOff>47625</xdr:rowOff>
                  </from>
                  <to>
                    <xdr:col>20</xdr:col>
                    <xdr:colOff>419100</xdr:colOff>
                    <xdr:row>25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7030A0"/>
  </sheetPr>
  <dimension ref="A1:M35"/>
  <sheetViews>
    <sheetView workbookViewId="0">
      <selection activeCell="D9" sqref="D9"/>
    </sheetView>
  </sheetViews>
  <sheetFormatPr defaultRowHeight="12.75" x14ac:dyDescent="0.2"/>
  <cols>
    <col min="1" max="1" width="6.42578125" customWidth="1"/>
    <col min="2" max="2" width="32.7109375" customWidth="1"/>
    <col min="3" max="3" width="19.85546875" customWidth="1"/>
    <col min="4" max="4" width="14.5703125" customWidth="1"/>
    <col min="7" max="7" width="23" customWidth="1"/>
    <col min="8" max="8" width="18.5703125" customWidth="1"/>
    <col min="9" max="9" width="11.140625" customWidth="1"/>
  </cols>
  <sheetData>
    <row r="1" spans="1:8" x14ac:dyDescent="0.2">
      <c r="A1" s="14" t="s">
        <v>57</v>
      </c>
      <c r="B1" s="14" t="s">
        <v>10</v>
      </c>
      <c r="C1" s="14" t="s">
        <v>58</v>
      </c>
      <c r="D1" s="14" t="s">
        <v>59</v>
      </c>
    </row>
    <row r="2" spans="1:8" x14ac:dyDescent="0.2">
      <c r="A2" s="84">
        <v>2</v>
      </c>
      <c r="B2" s="95" t="s">
        <v>6</v>
      </c>
      <c r="C2" s="93">
        <f>AVERAGE(DATA!I3)</f>
        <v>0.46087999999999996</v>
      </c>
      <c r="D2" s="94">
        <f>RANK(C2,$C$2:$C$19,0)</f>
        <v>15</v>
      </c>
    </row>
    <row r="3" spans="1:8" x14ac:dyDescent="0.2">
      <c r="A3" s="84">
        <v>3</v>
      </c>
      <c r="B3" t="s">
        <v>18</v>
      </c>
      <c r="C3" s="93">
        <f>AVERAGE(DATA!I4)</f>
        <v>0.5399250000000001</v>
      </c>
      <c r="D3" s="94">
        <f>RANK(C3,$C$2:$C$19,0)</f>
        <v>9</v>
      </c>
    </row>
    <row r="4" spans="1:8" x14ac:dyDescent="0.2">
      <c r="A4" s="84">
        <v>4</v>
      </c>
      <c r="B4" t="s">
        <v>19</v>
      </c>
      <c r="C4" s="93">
        <f>AVERAGE(DATA!I5)</f>
        <v>0.53892557232966931</v>
      </c>
      <c r="D4" s="94">
        <f>RANK(C4,$C$2:$C$19,0)</f>
        <v>10</v>
      </c>
      <c r="F4" s="99" t="s">
        <v>57</v>
      </c>
      <c r="G4" s="99" t="s">
        <v>46</v>
      </c>
      <c r="H4" s="99" t="s">
        <v>60</v>
      </c>
    </row>
    <row r="5" spans="1:8" x14ac:dyDescent="0.2">
      <c r="A5" s="84">
        <v>5</v>
      </c>
      <c r="B5" t="s">
        <v>53</v>
      </c>
      <c r="C5" s="93">
        <f>AVERAGE(DATA!I6)</f>
        <v>0.33674166666666672</v>
      </c>
      <c r="D5" s="94">
        <f>RANK(C5,$C$2:$C$19,0)</f>
        <v>17</v>
      </c>
      <c r="F5" s="63">
        <v>1</v>
      </c>
      <c r="G5" s="65" t="str">
        <f>INDEX($B$2:$B$19,MATCH(H5,$C$2:$C$19,0))</f>
        <v>Tanjung Pinang</v>
      </c>
      <c r="H5" s="98">
        <f>LARGE(Table1314[[Total Akhir ]],F5)</f>
        <v>0.70842499999999997</v>
      </c>
    </row>
    <row r="6" spans="1:8" x14ac:dyDescent="0.2">
      <c r="A6" s="84">
        <v>6</v>
      </c>
      <c r="B6" t="s">
        <v>21</v>
      </c>
      <c r="C6" s="93">
        <f>AVERAGE(DATA!I7)</f>
        <v>0.70842499999999997</v>
      </c>
      <c r="D6" s="94">
        <f>RANK(C6,$C$2:$C$19,0)</f>
        <v>1</v>
      </c>
      <c r="F6" s="63">
        <f>F5+1</f>
        <v>2</v>
      </c>
      <c r="G6" s="65" t="str">
        <f t="shared" ref="G6:G21" si="0">INDEX($B$2:$B$19,MATCH(H6,$C$2:$C$19,0))</f>
        <v>Gunung Sitoli</v>
      </c>
      <c r="H6" s="98">
        <f>LARGE(Table1314[[Total Akhir ]],F6)</f>
        <v>0.69935000000000003</v>
      </c>
    </row>
    <row r="7" spans="1:8" x14ac:dyDescent="0.2">
      <c r="A7" s="84">
        <v>7</v>
      </c>
      <c r="B7" t="s">
        <v>67</v>
      </c>
      <c r="C7" s="93">
        <f>AVERAGE(DATA!I8)</f>
        <v>0.47429999999999994</v>
      </c>
      <c r="D7" s="94">
        <f>RANK(C7,$C$2:$C$19,0)</f>
        <v>14</v>
      </c>
      <c r="F7" s="63">
        <f t="shared" ref="F7:F21" si="1">F6+1</f>
        <v>3</v>
      </c>
      <c r="G7" s="65" t="str">
        <f t="shared" si="0"/>
        <v>Kuala Tanjung</v>
      </c>
      <c r="H7" s="98">
        <f>LARGE(Table1314[[Total Akhir ]],F7)</f>
        <v>0.6968483333333334</v>
      </c>
    </row>
    <row r="8" spans="1:8" x14ac:dyDescent="0.2">
      <c r="A8" s="84">
        <v>8</v>
      </c>
      <c r="B8" t="s">
        <v>23</v>
      </c>
      <c r="C8" s="93">
        <f>AVERAGE(DATA!I9)</f>
        <v>0.53574333333333335</v>
      </c>
      <c r="D8" s="94">
        <f>RANK(C8,$C$2:$C$19,0)</f>
        <v>11</v>
      </c>
      <c r="F8" s="63">
        <f t="shared" si="1"/>
        <v>4</v>
      </c>
      <c r="G8" s="65" t="str">
        <f t="shared" si="0"/>
        <v>Sei Pakning</v>
      </c>
      <c r="H8" s="98">
        <f>LARGE(Table1314[[Total Akhir ]],F8)</f>
        <v>0.69666666666666666</v>
      </c>
    </row>
    <row r="9" spans="1:8" x14ac:dyDescent="0.2">
      <c r="A9" s="84">
        <v>9</v>
      </c>
      <c r="B9" t="s">
        <v>24</v>
      </c>
      <c r="C9" s="93">
        <f>AVERAGE(DATA!I10)</f>
        <v>0.6968483333333334</v>
      </c>
      <c r="D9" s="94">
        <f>RANK(C9,$C$2:$C$19,0)</f>
        <v>3</v>
      </c>
      <c r="F9" s="63">
        <f t="shared" si="1"/>
        <v>5</v>
      </c>
      <c r="G9" s="65" t="str">
        <f t="shared" si="0"/>
        <v>Lhokseumawe</v>
      </c>
      <c r="H9" s="98">
        <f>LARGE(Table1314[[Total Akhir ]],F9)</f>
        <v>0.59711666666666663</v>
      </c>
    </row>
    <row r="10" spans="1:8" x14ac:dyDescent="0.2">
      <c r="A10" s="84">
        <v>10</v>
      </c>
      <c r="B10" t="s">
        <v>25</v>
      </c>
      <c r="C10" s="93">
        <f>AVERAGE(DATA!I11)</f>
        <v>0.3434166666666667</v>
      </c>
      <c r="D10" s="94">
        <f>RANK(C10,$C$2:$C$19,0)</f>
        <v>16</v>
      </c>
      <c r="F10" s="63">
        <f t="shared" si="1"/>
        <v>6</v>
      </c>
      <c r="G10" s="65" t="str">
        <f t="shared" si="0"/>
        <v>Tanjung Balai Asahan</v>
      </c>
      <c r="H10" s="98">
        <f>LARGE(Table1314[[Total Akhir ]],F10)</f>
        <v>0.57310000000000005</v>
      </c>
    </row>
    <row r="11" spans="1:8" x14ac:dyDescent="0.2">
      <c r="A11" s="84">
        <v>11</v>
      </c>
      <c r="B11" t="s">
        <v>26</v>
      </c>
      <c r="C11" s="93">
        <f>AVERAGE(DATA!I12)</f>
        <v>0.69666666666666666</v>
      </c>
      <c r="D11" s="94">
        <f>RANK(C11,$C$2:$C$19,0)</f>
        <v>4</v>
      </c>
      <c r="F11" s="63">
        <f t="shared" si="1"/>
        <v>7</v>
      </c>
      <c r="G11" s="65" t="str">
        <f t="shared" si="0"/>
        <v>Unit Galangan Kapal</v>
      </c>
      <c r="H11" s="98">
        <f>LARGE(Table1314[[Total Akhir ]],F11)</f>
        <v>0.57169999999999999</v>
      </c>
    </row>
    <row r="12" spans="1:8" x14ac:dyDescent="0.2">
      <c r="A12" s="84">
        <v>12</v>
      </c>
      <c r="B12" t="s">
        <v>27</v>
      </c>
      <c r="C12" s="93">
        <f>AVERAGE(DATA!I13)</f>
        <v>0.53506666666666669</v>
      </c>
      <c r="D12" s="94">
        <f>RANK(C12,$C$2:$C$19,0)</f>
        <v>13</v>
      </c>
      <c r="F12" s="63">
        <f t="shared" si="1"/>
        <v>8</v>
      </c>
      <c r="G12" s="65" t="str">
        <f t="shared" si="0"/>
        <v>Tembilahan</v>
      </c>
      <c r="H12" s="98">
        <f>LARGE(Table1314[[Total Akhir ]],F12)</f>
        <v>0.56819499999999989</v>
      </c>
    </row>
    <row r="13" spans="1:8" x14ac:dyDescent="0.2">
      <c r="A13" s="84">
        <v>13</v>
      </c>
      <c r="B13" t="s">
        <v>28</v>
      </c>
      <c r="C13" s="93">
        <f>AVERAGE(DATA!I14)</f>
        <v>0.5352083333333334</v>
      </c>
      <c r="D13" s="94">
        <f>RANK(C13,$C$2:$C$19,0)</f>
        <v>12</v>
      </c>
      <c r="F13" s="63">
        <f t="shared" si="1"/>
        <v>9</v>
      </c>
      <c r="G13" s="65" t="str">
        <f t="shared" si="0"/>
        <v>Belawan</v>
      </c>
      <c r="H13" s="98">
        <f>LARGE(Table1314[[Total Akhir ]],F13)</f>
        <v>0.5399250000000001</v>
      </c>
    </row>
    <row r="14" spans="1:8" x14ac:dyDescent="0.2">
      <c r="A14" s="84">
        <v>14</v>
      </c>
      <c r="B14" t="s">
        <v>29</v>
      </c>
      <c r="C14" s="93">
        <f>AVERAGE(DATA!I15)</f>
        <v>0.59711666666666663</v>
      </c>
      <c r="D14" s="94">
        <f>RANK(C14,$C$2:$C$19,0)</f>
        <v>5</v>
      </c>
      <c r="F14" s="63">
        <f t="shared" si="1"/>
        <v>10</v>
      </c>
      <c r="G14" s="65" t="str">
        <f t="shared" si="0"/>
        <v>Dumai</v>
      </c>
      <c r="H14" s="98">
        <f>LARGE(Table1314[[Total Akhir ]],F14)</f>
        <v>0.53892557232966931</v>
      </c>
    </row>
    <row r="15" spans="1:8" ht="13.5" customHeight="1" x14ac:dyDescent="0.2">
      <c r="A15" s="84">
        <v>15</v>
      </c>
      <c r="B15" t="s">
        <v>30</v>
      </c>
      <c r="C15" s="93">
        <f>AVERAGE(DATA!I16)</f>
        <v>0.57310000000000005</v>
      </c>
      <c r="D15" s="94">
        <f>RANK(C15,$C$2:$C$19,0)</f>
        <v>6</v>
      </c>
      <c r="F15" s="63">
        <f t="shared" si="1"/>
        <v>11</v>
      </c>
      <c r="G15" s="65" t="str">
        <f t="shared" si="0"/>
        <v>Tanjung Balai Karimun</v>
      </c>
      <c r="H15" s="98">
        <f>LARGE(Table1314[[Total Akhir ]],F15)</f>
        <v>0.53574333333333335</v>
      </c>
    </row>
    <row r="16" spans="1:8" x14ac:dyDescent="0.2">
      <c r="A16" s="84">
        <v>16</v>
      </c>
      <c r="B16" t="s">
        <v>31</v>
      </c>
      <c r="C16" s="93">
        <f>AVERAGE(DATA!I17)</f>
        <v>0.56819499999999989</v>
      </c>
      <c r="D16" s="94">
        <f>RANK(C16,$C$2:$C$19,0)</f>
        <v>8</v>
      </c>
      <c r="F16" s="63">
        <f t="shared" si="1"/>
        <v>12</v>
      </c>
      <c r="G16" s="65" t="str">
        <f t="shared" si="0"/>
        <v>Malahayati</v>
      </c>
      <c r="H16" s="98">
        <f>LARGE(Table1314[[Total Akhir ]],F16)</f>
        <v>0.5352083333333334</v>
      </c>
    </row>
    <row r="17" spans="1:13" x14ac:dyDescent="0.2">
      <c r="A17" s="84">
        <v>17</v>
      </c>
      <c r="B17" t="s">
        <v>7</v>
      </c>
      <c r="C17" s="93">
        <f>AVERAGE(DATA!I18)</f>
        <v>0.69935000000000003</v>
      </c>
      <c r="D17" s="94">
        <f>RANK(C17,$C$2:$C$19,0)</f>
        <v>2</v>
      </c>
      <c r="F17" s="63">
        <f t="shared" si="1"/>
        <v>13</v>
      </c>
      <c r="G17" s="65" t="str">
        <f t="shared" si="0"/>
        <v>Sibolga</v>
      </c>
      <c r="H17" s="98">
        <f>LARGE(Table1314[[Total Akhir ]],F17)</f>
        <v>0.53506666666666669</v>
      </c>
    </row>
    <row r="18" spans="1:13" x14ac:dyDescent="0.2">
      <c r="A18" s="84">
        <v>18</v>
      </c>
      <c r="B18" t="s">
        <v>32</v>
      </c>
      <c r="C18" s="93">
        <f>AVERAGE(DATA!I19)</f>
        <v>0.57169999999999999</v>
      </c>
      <c r="D18" s="94">
        <f>RANK(C18,$C$2:$C$19,0)</f>
        <v>7</v>
      </c>
      <c r="F18" s="63">
        <f t="shared" si="1"/>
        <v>14</v>
      </c>
      <c r="G18" s="65" t="str">
        <f t="shared" si="0"/>
        <v>Pekan Baru</v>
      </c>
      <c r="H18" s="98">
        <f>LARGE(Table1314[[Total Akhir ]],F18)</f>
        <v>0.47429999999999994</v>
      </c>
      <c r="K18" s="84"/>
      <c r="M18" s="82"/>
    </row>
    <row r="19" spans="1:13" x14ac:dyDescent="0.2">
      <c r="A19" s="69"/>
      <c r="C19" s="9"/>
      <c r="F19" s="63">
        <f t="shared" si="1"/>
        <v>15</v>
      </c>
      <c r="G19" s="65" t="str">
        <f t="shared" si="0"/>
        <v>Kantor Pusat</v>
      </c>
      <c r="H19" s="98">
        <f>LARGE(Table1314[[Total Akhir ]],F19)</f>
        <v>0.46087999999999996</v>
      </c>
    </row>
    <row r="20" spans="1:13" x14ac:dyDescent="0.2">
      <c r="A20" s="69"/>
      <c r="C20" s="9"/>
      <c r="F20" s="63">
        <f t="shared" si="1"/>
        <v>16</v>
      </c>
      <c r="G20" s="65" t="str">
        <f t="shared" si="0"/>
        <v>Batam</v>
      </c>
      <c r="H20" s="98">
        <f>LARGE(Table1314[[Total Akhir ]],F20)</f>
        <v>0.3434166666666667</v>
      </c>
    </row>
    <row r="21" spans="1:13" x14ac:dyDescent="0.2">
      <c r="A21" s="69"/>
      <c r="C21" s="9"/>
      <c r="F21" s="63">
        <f t="shared" si="1"/>
        <v>17</v>
      </c>
      <c r="G21" s="65" t="str">
        <f t="shared" si="0"/>
        <v>TPK Belawan</v>
      </c>
      <c r="H21" s="98">
        <f>LARGE(Table1314[[Total Akhir ]],F21)</f>
        <v>0.33674166666666672</v>
      </c>
    </row>
    <row r="22" spans="1:13" x14ac:dyDescent="0.2">
      <c r="A22" s="69"/>
      <c r="C22" s="9"/>
      <c r="F22" s="84"/>
    </row>
    <row r="23" spans="1:13" x14ac:dyDescent="0.2">
      <c r="A23" s="69"/>
      <c r="C23" s="9"/>
      <c r="F23" s="84"/>
    </row>
    <row r="24" spans="1:13" x14ac:dyDescent="0.2">
      <c r="A24" s="69"/>
      <c r="C24" s="9"/>
    </row>
    <row r="25" spans="1:13" x14ac:dyDescent="0.2">
      <c r="A25" s="69"/>
      <c r="C25" s="9"/>
    </row>
    <row r="26" spans="1:13" x14ac:dyDescent="0.2">
      <c r="A26" s="69"/>
      <c r="C26" s="9"/>
    </row>
    <row r="27" spans="1:13" x14ac:dyDescent="0.2">
      <c r="A27" s="69"/>
      <c r="C27" s="9"/>
    </row>
    <row r="28" spans="1:13" x14ac:dyDescent="0.2">
      <c r="A28" s="69"/>
      <c r="C28" s="9"/>
    </row>
    <row r="29" spans="1:13" x14ac:dyDescent="0.2">
      <c r="A29" s="69"/>
      <c r="C29" s="9"/>
    </row>
    <row r="30" spans="1:13" x14ac:dyDescent="0.2">
      <c r="A30" s="69"/>
      <c r="C30" s="9"/>
    </row>
    <row r="31" spans="1:13" x14ac:dyDescent="0.2">
      <c r="A31" s="69"/>
      <c r="C31" s="9"/>
    </row>
    <row r="32" spans="1:13" x14ac:dyDescent="0.2">
      <c r="A32" s="69"/>
      <c r="C32" s="9"/>
    </row>
    <row r="33" spans="1:3" x14ac:dyDescent="0.2">
      <c r="A33" s="69"/>
      <c r="C33" s="9"/>
    </row>
    <row r="34" spans="1:3" x14ac:dyDescent="0.2">
      <c r="A34" s="69"/>
      <c r="C34" s="9"/>
    </row>
    <row r="35" spans="1:3" x14ac:dyDescent="0.2">
      <c r="A35" s="69"/>
      <c r="C35" s="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50"/>
  </sheetPr>
  <dimension ref="A1:R58"/>
  <sheetViews>
    <sheetView zoomScaleNormal="100" workbookViewId="0">
      <selection activeCell="B19" sqref="B19"/>
    </sheetView>
  </sheetViews>
  <sheetFormatPr defaultRowHeight="12.75" x14ac:dyDescent="0.2"/>
  <cols>
    <col min="1" max="1" width="4" customWidth="1"/>
    <col min="2" max="2" width="25.140625" bestFit="1" customWidth="1"/>
    <col min="3" max="3" width="11.28515625" style="1" bestFit="1" customWidth="1"/>
    <col min="4" max="4" width="13.5703125" style="1" bestFit="1" customWidth="1"/>
    <col min="5" max="5" width="13.28515625" style="1" bestFit="1" customWidth="1"/>
    <col min="6" max="6" width="9.42578125" style="1" bestFit="1" customWidth="1"/>
    <col min="7" max="7" width="11.28515625" style="1" bestFit="1" customWidth="1"/>
    <col min="8" max="8" width="16.7109375" style="1" bestFit="1" customWidth="1"/>
    <col min="9" max="9" width="22.28515625" customWidth="1"/>
    <col min="10" max="10" width="13.28515625" customWidth="1"/>
    <col min="11" max="11" width="20.85546875" customWidth="1"/>
    <col min="12" max="12" width="11.42578125" customWidth="1"/>
    <col min="13" max="13" width="9.28515625" customWidth="1"/>
    <col min="14" max="14" width="7.85546875" customWidth="1"/>
    <col min="15" max="15" width="8.42578125" customWidth="1"/>
    <col min="16" max="16" width="7.28515625" bestFit="1" customWidth="1"/>
    <col min="17" max="17" width="10.5703125" bestFit="1" customWidth="1"/>
    <col min="18" max="18" width="9.85546875" bestFit="1" customWidth="1"/>
  </cols>
  <sheetData>
    <row r="1" spans="1:18" ht="36" customHeight="1" x14ac:dyDescent="0.2">
      <c r="A1" s="1" t="s">
        <v>0</v>
      </c>
      <c r="B1" s="1" t="s">
        <v>10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8</v>
      </c>
      <c r="H1" s="1" t="s">
        <v>9</v>
      </c>
      <c r="I1" s="1" t="s">
        <v>54</v>
      </c>
      <c r="K1" t="s">
        <v>11</v>
      </c>
      <c r="L1">
        <v>6</v>
      </c>
    </row>
    <row r="2" spans="1:18" s="1" customFormat="1" ht="41.25" customHeight="1" x14ac:dyDescent="0.2">
      <c r="A2" s="18">
        <v>1</v>
      </c>
      <c r="B2" s="18" t="s">
        <v>1</v>
      </c>
      <c r="C2" s="41">
        <f t="shared" ref="C2:H2" si="0">AVERAGE(C3:C19)</f>
        <v>0.46647857142857141</v>
      </c>
      <c r="D2" s="41">
        <f t="shared" si="0"/>
        <v>0.71645431964576556</v>
      </c>
      <c r="E2" s="41">
        <f t="shared" si="0"/>
        <v>0.78760588235294104</v>
      </c>
      <c r="F2" s="41">
        <f t="shared" si="0"/>
        <v>7.1655882352941194E-2</v>
      </c>
      <c r="G2" s="41">
        <f t="shared" si="0"/>
        <v>0.47058823529411764</v>
      </c>
      <c r="H2" s="41">
        <f t="shared" si="0"/>
        <v>0.78940294117647059</v>
      </c>
      <c r="I2" s="41">
        <f>AVERAGE(Table1[[#This Row],[AMANAH]:[KOLABORATIF]])</f>
        <v>0.55036430537513459</v>
      </c>
      <c r="K2" s="31" t="str">
        <f>VLOOKUP($L$1,Table1[],2,0)</f>
        <v>Tanjung Pinang</v>
      </c>
      <c r="L2" s="83">
        <f>VLOOKUP($L$1,Table1[],3,FALSE)</f>
        <v>1</v>
      </c>
      <c r="M2" s="83">
        <f>VLOOKUP($L$1,Table1[],4,FALSE)</f>
        <v>0.66800000000000004</v>
      </c>
      <c r="N2" s="83">
        <f>VLOOKUP($L$1,Table1[],5,FALSE)</f>
        <v>0.76</v>
      </c>
      <c r="O2" s="83">
        <f>VLOOKUP($L$1,Table1[],6,FALSE)</f>
        <v>4.5800000000000007E-2</v>
      </c>
      <c r="P2" s="83">
        <f>VLOOKUP($L$1,Table1[],7,FALSE)</f>
        <v>1</v>
      </c>
      <c r="Q2" s="83">
        <f>VLOOKUP($L$1,Table1[],8,FALSE)</f>
        <v>0.77675000000000005</v>
      </c>
    </row>
    <row r="3" spans="1:18" x14ac:dyDescent="0.2">
      <c r="A3" s="1">
        <v>2</v>
      </c>
      <c r="B3" t="s">
        <v>6</v>
      </c>
      <c r="C3" s="28" t="str">
        <f>VLOOKUP(Table1[[#This Row],[ID]],LEDGER!A3:D19,4,FALSE)</f>
        <v>N/A</v>
      </c>
      <c r="D3" s="81">
        <f>VLOOKUP(Table1[[#This Row],[ID]],LEDGER!A3:I19,9,FALSE)</f>
        <v>0.7</v>
      </c>
      <c r="E3" s="81">
        <f>VLOOKUP(Table1[[#This Row],[ID]],LEDGER!A3:K19,11,FALSE)</f>
        <v>0.7</v>
      </c>
      <c r="F3" s="81">
        <f>VLOOKUP(Table1[[#This Row],[ID]],LEDGER!A3:N19,14,FALSE)</f>
        <v>0.90439999999999998</v>
      </c>
      <c r="G3" s="81">
        <f>VLOOKUP(Table1[[#This Row],[ID]],LEDGER!A3:Q19,17,FALSE)</f>
        <v>0</v>
      </c>
      <c r="H3" s="81">
        <f>VLOOKUP(Table1[[#This Row],[ID]],LEDGER!A3:T19,20,FALSE)</f>
        <v>0</v>
      </c>
      <c r="I3" s="81">
        <f>AVERAGE(Table1[[#This Row],[KOMPETEN]:[KOLABORATIF]])</f>
        <v>0.46087999999999996</v>
      </c>
      <c r="K3" t="s">
        <v>10</v>
      </c>
      <c r="L3" t="s">
        <v>12</v>
      </c>
      <c r="M3" t="s">
        <v>13</v>
      </c>
      <c r="N3" t="s">
        <v>14</v>
      </c>
      <c r="O3" t="s">
        <v>15</v>
      </c>
      <c r="P3" t="s">
        <v>16</v>
      </c>
      <c r="Q3" t="s">
        <v>17</v>
      </c>
    </row>
    <row r="4" spans="1:18" x14ac:dyDescent="0.2">
      <c r="A4" s="1">
        <v>3</v>
      </c>
      <c r="B4" t="s">
        <v>18</v>
      </c>
      <c r="C4" s="81">
        <f>VLOOKUP(Table1[[#This Row],[ID]],LEDGER!A4:D19,4,FALSE)</f>
        <v>0.8</v>
      </c>
      <c r="D4" s="81">
        <f>VLOOKUP(Table1[[#This Row],[ID]],LEDGER!A4:I19,9,FALSE)</f>
        <v>0.79200000000000004</v>
      </c>
      <c r="E4" s="81">
        <f>VLOOKUP(Table1[[#This Row],[ID]],LEDGER!A4:K19,11,FALSE)</f>
        <v>0.8</v>
      </c>
      <c r="F4" s="81">
        <f>VLOOKUP(Table1[[#This Row],[ID]],LEDGER!A4:N19,14,FALSE)</f>
        <v>-0.10420000000000001</v>
      </c>
      <c r="G4" s="81">
        <f>VLOOKUP(Table1[[#This Row],[ID]],LEDGER!A4:Q19,17,FALSE)</f>
        <v>0</v>
      </c>
      <c r="H4" s="81">
        <f>VLOOKUP(Table1[[#This Row],[ID]],LEDGER!A4:T19,20,FALSE)</f>
        <v>0.95174999999999998</v>
      </c>
      <c r="I4" s="81">
        <f>AVERAGE(Table1[[#This Row],[AMANAH]:[KOLABORATIF]])</f>
        <v>0.5399250000000001</v>
      </c>
      <c r="K4" s="46" t="s">
        <v>33</v>
      </c>
      <c r="L4" s="9">
        <f t="shared" ref="L4:Q4" si="1">IF(L2&gt;=0.666667,L2,NA())</f>
        <v>1</v>
      </c>
      <c r="M4" s="9">
        <f t="shared" si="1"/>
        <v>0.66800000000000004</v>
      </c>
      <c r="N4" s="9">
        <f t="shared" si="1"/>
        <v>0.76</v>
      </c>
      <c r="O4" s="9" t="e">
        <f t="shared" si="1"/>
        <v>#N/A</v>
      </c>
      <c r="P4" s="9">
        <f t="shared" si="1"/>
        <v>1</v>
      </c>
      <c r="Q4" s="9">
        <f t="shared" si="1"/>
        <v>0.77675000000000005</v>
      </c>
      <c r="R4" s="2"/>
    </row>
    <row r="5" spans="1:18" x14ac:dyDescent="0.2">
      <c r="A5" s="1">
        <v>4</v>
      </c>
      <c r="B5" t="s">
        <v>19</v>
      </c>
      <c r="C5" s="81">
        <f>VLOOKUP(Table1[[#This Row],[ID]],LEDGER!A5:D20,4,FALSE)</f>
        <v>0.7</v>
      </c>
      <c r="D5" s="81">
        <f>VLOOKUP(Table1[[#This Row],[ID]],LEDGER!A5:I20,9,FALSE)</f>
        <v>0.6808534339780159</v>
      </c>
      <c r="E5" s="81">
        <f>VLOOKUP(Table1[[#This Row],[ID]],LEDGER!A5:K20,11,FALSE)</f>
        <v>0.90349999999999997</v>
      </c>
      <c r="F5" s="81">
        <f>VLOOKUP(Table1[[#This Row],[ID]],LEDGER!A5:N20,14,FALSE)</f>
        <v>7.5000000000000011E-2</v>
      </c>
      <c r="G5" s="81">
        <f>VLOOKUP(Table1[[#This Row],[ID]],LEDGER!A5:Q20,17,FALSE)</f>
        <v>0</v>
      </c>
      <c r="H5" s="81">
        <f>VLOOKUP(Table1[[#This Row],[ID]],LEDGER!A5:T20,20,FALSE)</f>
        <v>0.87419999999999998</v>
      </c>
      <c r="I5" s="81">
        <f>AVERAGE(Table1[[#This Row],[AMANAH]:[KOLABORATIF]])</f>
        <v>0.53892557232966931</v>
      </c>
      <c r="J5" s="2"/>
      <c r="K5" s="10" t="s">
        <v>34</v>
      </c>
      <c r="L5" s="9" t="e">
        <f t="shared" ref="L5:Q5" si="2">IF(AND(L2&gt;=0.333334,L2&lt;=0.666666),L2,NA())</f>
        <v>#N/A</v>
      </c>
      <c r="M5" s="9" t="e">
        <f t="shared" si="2"/>
        <v>#N/A</v>
      </c>
      <c r="N5" s="9" t="e">
        <f t="shared" si="2"/>
        <v>#N/A</v>
      </c>
      <c r="O5" s="9" t="e">
        <f t="shared" si="2"/>
        <v>#N/A</v>
      </c>
      <c r="P5" s="9" t="e">
        <f t="shared" si="2"/>
        <v>#N/A</v>
      </c>
      <c r="Q5" s="9" t="e">
        <f t="shared" si="2"/>
        <v>#N/A</v>
      </c>
    </row>
    <row r="6" spans="1:18" x14ac:dyDescent="0.2">
      <c r="A6" s="1">
        <v>5</v>
      </c>
      <c r="B6" t="s">
        <v>20</v>
      </c>
      <c r="C6" s="81">
        <f>VLOOKUP(Table1[[#This Row],[ID]],LEDGER!A6:D21,4,FALSE)</f>
        <v>0</v>
      </c>
      <c r="D6" s="81">
        <f>VLOOKUP(Table1[[#This Row],[ID]],LEDGER!A6:I21,9,FALSE)</f>
        <v>0.63300000000000001</v>
      </c>
      <c r="E6" s="81">
        <f>VLOOKUP(Table1[[#This Row],[ID]],LEDGER!A6:K21,11,FALSE)</f>
        <v>0.76</v>
      </c>
      <c r="F6" s="81">
        <f>VLOOKUP(Table1[[#This Row],[ID]],LEDGER!A6:N21,14,FALSE)</f>
        <v>-9.754999999999997E-2</v>
      </c>
      <c r="G6" s="81">
        <f>VLOOKUP(Table1[[#This Row],[ID]],LEDGER!A6:Q21,17,FALSE)</f>
        <v>0</v>
      </c>
      <c r="H6" s="81">
        <f>VLOOKUP(Table1[[#This Row],[ID]],LEDGER!A6:T21,20,FALSE)</f>
        <v>0.72500000000000009</v>
      </c>
      <c r="I6" s="81">
        <f>AVERAGE(Table1[[#This Row],[AMANAH]:[KOLABORATIF]])</f>
        <v>0.33674166666666672</v>
      </c>
      <c r="J6" s="2"/>
      <c r="K6" s="11" t="s">
        <v>35</v>
      </c>
      <c r="L6" s="9" t="e">
        <f>L5=IF(L2&lt;=0.333333,L2,NA())</f>
        <v>#N/A</v>
      </c>
      <c r="M6" s="9" t="e">
        <f>IF(M2&lt;=0.333333,M2,NA())</f>
        <v>#N/A</v>
      </c>
      <c r="N6" s="9" t="e">
        <f>IF(N2&lt;=0.333333,N2,NA())</f>
        <v>#N/A</v>
      </c>
      <c r="O6" s="9">
        <f>IF(O2&lt;=0.333333,O2,NA())</f>
        <v>4.5800000000000007E-2</v>
      </c>
      <c r="P6" s="9" t="e">
        <f>IF(P2&lt;=0.333333,P2,NA())</f>
        <v>#N/A</v>
      </c>
      <c r="Q6" s="9" t="e">
        <f>IF(Q2&lt;=0.333333,Q2,NA())</f>
        <v>#N/A</v>
      </c>
    </row>
    <row r="7" spans="1:18" x14ac:dyDescent="0.2">
      <c r="A7" s="1">
        <v>6</v>
      </c>
      <c r="B7" t="s">
        <v>21</v>
      </c>
      <c r="C7" s="81">
        <f>VLOOKUP(Table1[[#This Row],[ID]],LEDGER!A7:D21,4,FALSE)</f>
        <v>1</v>
      </c>
      <c r="D7" s="81">
        <f>VLOOKUP(Table1[[#This Row],[ID]],LEDGER!A7:I22,9,FALSE)</f>
        <v>0.66800000000000004</v>
      </c>
      <c r="E7" s="81">
        <f>VLOOKUP(Table1[[#This Row],[ID]],LEDGER!A7:K22,11,FALSE)</f>
        <v>0.76</v>
      </c>
      <c r="F7" s="81">
        <f>VLOOKUP(Table1[[#This Row],[ID]],LEDGER!A7:N22,14,FALSE)</f>
        <v>4.5800000000000007E-2</v>
      </c>
      <c r="G7" s="81">
        <f>VLOOKUP(Table1[[#This Row],[ID]],LEDGER!A7:Q22,17,FALSE)</f>
        <v>1</v>
      </c>
      <c r="H7" s="81">
        <f>VLOOKUP(Table1[[#This Row],[ID]],LEDGER!A7:T22,20,FALSE)</f>
        <v>0.77675000000000005</v>
      </c>
      <c r="I7" s="81">
        <f>AVERAGE(Table1[[#This Row],[AMANAH]:[KOLABORATIF]])</f>
        <v>0.70842499999999997</v>
      </c>
    </row>
    <row r="8" spans="1:18" x14ac:dyDescent="0.2">
      <c r="A8" s="1">
        <v>7</v>
      </c>
      <c r="B8" t="s">
        <v>22</v>
      </c>
      <c r="C8" s="81">
        <f>VLOOKUP(Table1[[#This Row],[ID]],LEDGER!A8:D21,4,FALSE)</f>
        <v>0.80840000000000001</v>
      </c>
      <c r="D8" s="81">
        <f>VLOOKUP(Table1[[#This Row],[ID]],LEDGER!A8:I23,9,FALSE)</f>
        <v>0.68800000000000006</v>
      </c>
      <c r="E8" s="81">
        <f>VLOOKUP(Table1[[#This Row],[ID]],LEDGER!A8:K23,11,FALSE)</f>
        <v>0.7</v>
      </c>
      <c r="F8" s="81">
        <f>VLOOKUP(Table1[[#This Row],[ID]],LEDGER!A8:N23,14,FALSE)</f>
        <v>-0.14560000000000001</v>
      </c>
      <c r="G8" s="81">
        <f>VLOOKUP(Table1[[#This Row],[ID]],LEDGER!A8:Q23,17,FALSE)</f>
        <v>0</v>
      </c>
      <c r="H8" s="81">
        <f>VLOOKUP(Table1[[#This Row],[ID]],LEDGER!A8:T23,20,FALSE)</f>
        <v>0.79499999999999993</v>
      </c>
      <c r="I8" s="81">
        <f>AVERAGE(Table1[[#This Row],[AMANAH]:[KOLABORATIF]])</f>
        <v>0.47429999999999994</v>
      </c>
    </row>
    <row r="9" spans="1:18" x14ac:dyDescent="0.2">
      <c r="A9" s="1">
        <v>8</v>
      </c>
      <c r="B9" t="s">
        <v>23</v>
      </c>
      <c r="C9" s="81">
        <f>VLOOKUP(Table1[[#This Row],[ID]],LEDGER!A9:D21,4,FALSE)</f>
        <v>0</v>
      </c>
      <c r="D9" s="81">
        <f>VLOOKUP(Table1[[#This Row],[ID]],LEDGER!A9:I24,9,FALSE)</f>
        <v>0.59971000000000008</v>
      </c>
      <c r="E9" s="81">
        <f>VLOOKUP(Table1[[#This Row],[ID]],LEDGER!A9:K24,11,FALSE)</f>
        <v>0.80879999999999996</v>
      </c>
      <c r="F9" s="81">
        <f>VLOOKUP(Table1[[#This Row],[ID]],LEDGER!A9:N24,14,FALSE)</f>
        <v>-2.0799999999999985E-2</v>
      </c>
      <c r="G9" s="81">
        <f>VLOOKUP(Table1[[#This Row],[ID]],LEDGER!A9:Q24,17,FALSE)</f>
        <v>1</v>
      </c>
      <c r="H9" s="81">
        <f>VLOOKUP(Table1[[#This Row],[ID]],LEDGER!A9:T24,20,FALSE)</f>
        <v>0.82674999999999998</v>
      </c>
      <c r="I9" s="81">
        <f>AVERAGE(Table1[[#This Row],[AMANAH]:[KOLABORATIF]])</f>
        <v>0.53574333333333335</v>
      </c>
    </row>
    <row r="10" spans="1:18" x14ac:dyDescent="0.2">
      <c r="A10" s="1">
        <v>9</v>
      </c>
      <c r="B10" t="s">
        <v>24</v>
      </c>
      <c r="C10" s="28">
        <f>VLOOKUP(Table1[[#This Row],[ID]],LEDGER!A10:D22,4,FALSE)</f>
        <v>0.80879999999999996</v>
      </c>
      <c r="D10" s="81">
        <f>VLOOKUP(Table1[[#This Row],[ID]],LEDGER!A10:I25,9,FALSE)</f>
        <v>0.66649000000000003</v>
      </c>
      <c r="E10" s="81">
        <f>VLOOKUP(Table1[[#This Row],[ID]],LEDGER!A10:K25,11,FALSE)</f>
        <v>0.8</v>
      </c>
      <c r="F10" s="81">
        <f>VLOOKUP(Table1[[#This Row],[ID]],LEDGER!A10:N25,14,FALSE)</f>
        <v>1.5999999999999903E-3</v>
      </c>
      <c r="G10" s="81">
        <f>VLOOKUP(Table1[[#This Row],[ID]],LEDGER!A10:Q25,17,FALSE)</f>
        <v>1</v>
      </c>
      <c r="H10" s="81">
        <f>VLOOKUP(Table1[[#This Row],[ID]],LEDGER!A10:T25,20,FALSE)</f>
        <v>0.9042</v>
      </c>
      <c r="I10" s="81">
        <f>AVERAGE(Table1[[#This Row],[AMANAH]:[KOLABORATIF]])</f>
        <v>0.6968483333333334</v>
      </c>
    </row>
    <row r="11" spans="1:18" x14ac:dyDescent="0.2">
      <c r="A11" s="1">
        <v>10</v>
      </c>
      <c r="B11" t="s">
        <v>25</v>
      </c>
      <c r="C11" s="81">
        <f>VLOOKUP(Table1[[#This Row],[ID]],LEDGER!A11:D23,4,FALSE)</f>
        <v>0</v>
      </c>
      <c r="D11" s="81">
        <f>VLOOKUP(Table1[[#This Row],[ID]],LEDGER!A11:I26,9,FALSE)</f>
        <v>0.66049999999999998</v>
      </c>
      <c r="E11" s="81">
        <f>VLOOKUP(Table1[[#This Row],[ID]],LEDGER!A11:K26,11,FALSE)</f>
        <v>0.75</v>
      </c>
      <c r="F11" s="81">
        <f>VLOOKUP(Table1[[#This Row],[ID]],LEDGER!A11:N26,14,FALSE)</f>
        <v>-7.5000000000000011E-2</v>
      </c>
      <c r="G11" s="81">
        <f>VLOOKUP(Table1[[#This Row],[ID]],LEDGER!A11:Q26,17,FALSE)</f>
        <v>0</v>
      </c>
      <c r="H11" s="81">
        <f>VLOOKUP(Table1[[#This Row],[ID]],LEDGER!A11:T26,20,FALSE)</f>
        <v>0.72500000000000009</v>
      </c>
      <c r="I11" s="81">
        <f>AVERAGE(Table1[[#This Row],[AMANAH]:[KOLABORATIF]])</f>
        <v>0.3434166666666667</v>
      </c>
    </row>
    <row r="12" spans="1:18" x14ac:dyDescent="0.2">
      <c r="A12" s="1">
        <v>11</v>
      </c>
      <c r="B12" t="s">
        <v>26</v>
      </c>
      <c r="C12" s="81">
        <f>VLOOKUP(Table1[[#This Row],[ID]],LEDGER!A12:D24,4,FALSE)</f>
        <v>0.76</v>
      </c>
      <c r="D12" s="81">
        <f>VLOOKUP(Table1[[#This Row],[ID]],LEDGER!A12:I27,9,FALSE)</f>
        <v>0.69999999999999984</v>
      </c>
      <c r="E12" s="81">
        <f>VLOOKUP(Table1[[#This Row],[ID]],LEDGER!A12:K27,11,FALSE)</f>
        <v>0.8</v>
      </c>
      <c r="F12" s="81">
        <f>VLOOKUP(Table1[[#This Row],[ID]],LEDGER!A12:N27,14,FALSE)</f>
        <v>-1.7499999999999738E-3</v>
      </c>
      <c r="G12" s="81">
        <f>VLOOKUP(Table1[[#This Row],[ID]],LEDGER!A12:Q27,17,FALSE)</f>
        <v>1</v>
      </c>
      <c r="H12" s="81">
        <f>VLOOKUP(Table1[[#This Row],[ID]],LEDGER!A12:T27,20,FALSE)</f>
        <v>0.92174999999999996</v>
      </c>
      <c r="I12" s="81">
        <f>AVERAGE(Table1[[#This Row],[AMANAH]:[KOLABORATIF]])</f>
        <v>0.69666666666666666</v>
      </c>
    </row>
    <row r="13" spans="1:18" x14ac:dyDescent="0.2">
      <c r="A13" s="1">
        <v>12</v>
      </c>
      <c r="B13" t="s">
        <v>27</v>
      </c>
      <c r="C13" s="81">
        <f>VLOOKUP(Table1[[#This Row],[ID]],LEDGER!A13:D25,4,FALSE)</f>
        <v>0</v>
      </c>
      <c r="D13" s="81">
        <f>VLOOKUP(Table1[[#This Row],[ID]],LEDGER!A13:I28,9,FALSE)</f>
        <v>0.65600000000000003</v>
      </c>
      <c r="E13" s="81">
        <f>VLOOKUP(Table1[[#This Row],[ID]],LEDGER!A13:K28,11,FALSE)</f>
        <v>0.75</v>
      </c>
      <c r="F13" s="81">
        <f>VLOOKUP(Table1[[#This Row],[ID]],LEDGER!A13:N28,14,FALSE)</f>
        <v>-2.0600000000000007E-2</v>
      </c>
      <c r="G13" s="81">
        <f>VLOOKUP(Table1[[#This Row],[ID]],LEDGER!A13:Q28,17,FALSE)</f>
        <v>1</v>
      </c>
      <c r="H13" s="81">
        <f>VLOOKUP(Table1[[#This Row],[ID]],LEDGER!A13:T28,20,FALSE)</f>
        <v>0.82499999999999996</v>
      </c>
      <c r="I13" s="81">
        <f>AVERAGE(Table1[[#This Row],[AMANAH]:[KOLABORATIF]])</f>
        <v>0.53506666666666669</v>
      </c>
    </row>
    <row r="14" spans="1:18" x14ac:dyDescent="0.2">
      <c r="A14" s="1">
        <v>13</v>
      </c>
      <c r="B14" t="s">
        <v>28</v>
      </c>
      <c r="C14" s="81">
        <f>VLOOKUP(Table1[[#This Row],[ID]],LEDGER!A14:D26,4,FALSE)</f>
        <v>0.90349999999999997</v>
      </c>
      <c r="D14" s="81">
        <f>VLOOKUP(Table1[[#This Row],[ID]],LEDGER!A14:I29,9,FALSE)</f>
        <v>0.68599999999999994</v>
      </c>
      <c r="E14" s="81">
        <f>VLOOKUP(Table1[[#This Row],[ID]],LEDGER!A14:K29,11,FALSE)</f>
        <v>0.75</v>
      </c>
      <c r="F14" s="81">
        <f>VLOOKUP(Table1[[#This Row],[ID]],LEDGER!A14:N29,14,FALSE)</f>
        <v>-4.9999999999999989E-2</v>
      </c>
      <c r="G14" s="81">
        <f>VLOOKUP(Table1[[#This Row],[ID]],LEDGER!A14:Q29,17,FALSE)</f>
        <v>0</v>
      </c>
      <c r="H14" s="81">
        <f>VLOOKUP(Table1[[#This Row],[ID]],LEDGER!A14:T29,20,FALSE)</f>
        <v>0.92174999999999996</v>
      </c>
      <c r="I14" s="81">
        <f>AVERAGE(Table1[[#This Row],[AMANAH]:[KOLABORATIF]])</f>
        <v>0.5352083333333334</v>
      </c>
    </row>
    <row r="15" spans="1:18" x14ac:dyDescent="0.2">
      <c r="A15" s="1">
        <v>14</v>
      </c>
      <c r="B15" t="s">
        <v>29</v>
      </c>
      <c r="C15" s="81">
        <f>VLOOKUP(Table1[[#This Row],[ID]],LEDGER!A15:D27,4,FALSE)</f>
        <v>0</v>
      </c>
      <c r="D15" s="81">
        <f>VLOOKUP(Table1[[#This Row],[ID]],LEDGER!A15:I30,9,FALSE)</f>
        <v>0.92999999999999994</v>
      </c>
      <c r="E15" s="81">
        <f>VLOOKUP(Table1[[#This Row],[ID]],LEDGER!A15:K30,11,FALSE)</f>
        <v>0.90349999999999997</v>
      </c>
      <c r="F15" s="81">
        <f>VLOOKUP(Table1[[#This Row],[ID]],LEDGER!A15:N30,14,FALSE)</f>
        <v>-4.5800000000000007E-2</v>
      </c>
      <c r="G15" s="81">
        <f>VLOOKUP(Table1[[#This Row],[ID]],LEDGER!A15:Q30,17,FALSE)</f>
        <v>1</v>
      </c>
      <c r="H15" s="81">
        <f>VLOOKUP(Table1[[#This Row],[ID]],LEDGER!A15:T30,20,FALSE)</f>
        <v>0.79499999999999993</v>
      </c>
      <c r="I15" s="81">
        <f>AVERAGE(Table1[[#This Row],[AMANAH]:[KOLABORATIF]])</f>
        <v>0.59711666666666663</v>
      </c>
    </row>
    <row r="16" spans="1:18" x14ac:dyDescent="0.2">
      <c r="A16" s="1">
        <v>15</v>
      </c>
      <c r="B16" t="s">
        <v>30</v>
      </c>
      <c r="C16" s="81">
        <f>VLOOKUP(Table1[[#This Row],[ID]],LEDGER!A16:D28,4,FALSE)</f>
        <v>0</v>
      </c>
      <c r="D16" s="81">
        <f>VLOOKUP(Table1[[#This Row],[ID]],LEDGER!A16:I31,9,FALSE)</f>
        <v>0.88</v>
      </c>
      <c r="E16" s="81">
        <f>VLOOKUP(Table1[[#This Row],[ID]],LEDGER!A16:K31,11,FALSE)</f>
        <v>0.8</v>
      </c>
      <c r="F16" s="81">
        <f>VLOOKUP(Table1[[#This Row],[ID]],LEDGER!A16:N31,14,FALSE)</f>
        <v>-9.7349999999999992E-2</v>
      </c>
      <c r="G16" s="81">
        <f>VLOOKUP(Table1[[#This Row],[ID]],LEDGER!A16:Q31,17,FALSE)</f>
        <v>1</v>
      </c>
      <c r="H16" s="81">
        <f>VLOOKUP(Table1[[#This Row],[ID]],LEDGER!A16:T31,20,FALSE)</f>
        <v>0.85594999999999999</v>
      </c>
      <c r="I16" s="81">
        <f>AVERAGE(Table1[[#This Row],[AMANAH]:[KOLABORATIF]])</f>
        <v>0.57310000000000005</v>
      </c>
    </row>
    <row r="17" spans="1:9" x14ac:dyDescent="0.2">
      <c r="A17" s="1">
        <v>16</v>
      </c>
      <c r="B17" t="s">
        <v>31</v>
      </c>
      <c r="C17" s="28">
        <f>VLOOKUP(Table1[[#This Row],[ID]],LEDGER!A17:D29,4,FALSE)</f>
        <v>0.75</v>
      </c>
      <c r="D17" s="81">
        <f>VLOOKUP(Table1[[#This Row],[ID]],LEDGER!A17:I32,9,FALSE)</f>
        <v>1.15917</v>
      </c>
      <c r="E17" s="81">
        <f>VLOOKUP(Table1[[#This Row],[ID]],LEDGER!A17:K32,11,FALSE)</f>
        <v>0.7</v>
      </c>
      <c r="F17" s="81">
        <f>VLOOKUP(Table1[[#This Row],[ID]],LEDGER!A17:N32,14,FALSE)</f>
        <v>-0.10000000000000003</v>
      </c>
      <c r="G17" s="81">
        <f>VLOOKUP(Table1[[#This Row],[ID]],LEDGER!A17:Q32,17,FALSE)</f>
        <v>0</v>
      </c>
      <c r="H17" s="81">
        <f>VLOOKUP(Table1[[#This Row],[ID]],LEDGER!A17:T32,20,FALSE)</f>
        <v>0.9</v>
      </c>
      <c r="I17" s="81">
        <f>AVERAGE(Table1[[#This Row],[AMANAH]:[KOLABORATIF]])</f>
        <v>0.56819499999999989</v>
      </c>
    </row>
    <row r="18" spans="1:9" x14ac:dyDescent="0.2">
      <c r="A18" s="1">
        <v>17</v>
      </c>
      <c r="B18" t="s">
        <v>7</v>
      </c>
      <c r="C18" s="28" t="str">
        <f>VLOOKUP(Table1[[#This Row],[ID]],LEDGER!A18:D30,4,FALSE)</f>
        <v>N/A</v>
      </c>
      <c r="D18" s="81">
        <f>VLOOKUP(Table1[[#This Row],[ID]],LEDGER!A18:I33,9,FALSE)</f>
        <v>0.92</v>
      </c>
      <c r="E18" s="81">
        <f>VLOOKUP(Table1[[#This Row],[ID]],LEDGER!A18:K33,11,FALSE)</f>
        <v>0.8</v>
      </c>
      <c r="F18" s="81">
        <f>VLOOKUP(Table1[[#This Row],[ID]],LEDGER!A18:N33,14,FALSE)</f>
        <v>-4.9999999999999989E-2</v>
      </c>
      <c r="G18" s="81">
        <f>VLOOKUP(Table1[[#This Row],[ID]],LEDGER!A18:Q33,17,FALSE)</f>
        <v>1</v>
      </c>
      <c r="H18" s="81">
        <f>VLOOKUP(Table1[[#This Row],[ID]],LEDGER!A18:T33,20,FALSE)</f>
        <v>0.82674999999999998</v>
      </c>
      <c r="I18" s="81">
        <f>AVERAGE(Table1[[#This Row],[AMANAH]:[KOLABORATIF]])</f>
        <v>0.69935000000000003</v>
      </c>
    </row>
    <row r="19" spans="1:9" x14ac:dyDescent="0.2">
      <c r="A19" s="1">
        <v>18</v>
      </c>
      <c r="B19" t="s">
        <v>32</v>
      </c>
      <c r="C19" s="28" t="str">
        <f>VLOOKUP(Table1[[#This Row],[ID]],LEDGER!A19:D31,4,FALSE)</f>
        <v>N/A</v>
      </c>
      <c r="D19" s="81">
        <f>VLOOKUP(Table1[[#This Row],[ID]],LEDGER!A19:I34,9,FALSE)</f>
        <v>0.16000000000000003</v>
      </c>
      <c r="E19" s="81">
        <f>VLOOKUP(Table1[[#This Row],[ID]],LEDGER!A19:K34,11,FALSE)</f>
        <v>0.90349999999999997</v>
      </c>
      <c r="F19" s="81">
        <f>VLOOKUP(Table1[[#This Row],[ID]],LEDGER!A19:N34,14,FALSE)</f>
        <v>1</v>
      </c>
      <c r="G19" s="81">
        <f>VLOOKUP(Table1[[#This Row],[ID]],LEDGER!A19:Q34,17,FALSE)</f>
        <v>0</v>
      </c>
      <c r="H19" s="81">
        <f>VLOOKUP(Table1[[#This Row],[ID]],LEDGER!A19:T34,20,FALSE)</f>
        <v>0.79499999999999993</v>
      </c>
      <c r="I19" s="81">
        <f>AVERAGE(Table1[[#This Row],[AMANAH]:[KOLABORATIF]])</f>
        <v>0.57169999999999999</v>
      </c>
    </row>
    <row r="20" spans="1:9" x14ac:dyDescent="0.2">
      <c r="A20" s="1"/>
      <c r="C20" s="28"/>
      <c r="D20" s="28"/>
      <c r="E20" s="28"/>
      <c r="F20" s="13"/>
      <c r="G20" s="28"/>
      <c r="H20" s="28"/>
      <c r="I20" s="28"/>
    </row>
    <row r="21" spans="1:9" x14ac:dyDescent="0.2">
      <c r="A21" s="1"/>
      <c r="C21" s="29"/>
      <c r="D21" s="29"/>
      <c r="E21" s="29"/>
      <c r="F21" s="30"/>
      <c r="G21" s="29"/>
      <c r="H21" s="29"/>
    </row>
    <row r="22" spans="1:9" x14ac:dyDescent="0.2">
      <c r="A22" s="1"/>
      <c r="C22" s="29"/>
      <c r="D22" s="29"/>
      <c r="E22" s="29"/>
      <c r="F22" s="30"/>
      <c r="G22" s="29"/>
      <c r="H22" s="29"/>
    </row>
    <row r="23" spans="1:9" x14ac:dyDescent="0.2">
      <c r="A23" s="1"/>
      <c r="C23" s="31"/>
      <c r="D23" s="31"/>
      <c r="E23" s="31"/>
      <c r="F23" s="30"/>
      <c r="G23" s="29"/>
      <c r="H23" s="29"/>
    </row>
    <row r="24" spans="1:9" x14ac:dyDescent="0.2">
      <c r="A24" s="1"/>
      <c r="C24" s="31"/>
      <c r="D24" s="31"/>
      <c r="E24" s="31"/>
      <c r="F24" s="30"/>
      <c r="G24" s="29"/>
      <c r="H24" s="29"/>
    </row>
    <row r="25" spans="1:9" x14ac:dyDescent="0.2">
      <c r="A25" s="1"/>
      <c r="C25" s="31"/>
      <c r="D25" s="31"/>
      <c r="E25" s="31"/>
      <c r="F25" s="30"/>
      <c r="G25" s="29"/>
      <c r="H25" s="29"/>
    </row>
    <row r="26" spans="1:9" x14ac:dyDescent="0.2">
      <c r="A26" s="1"/>
      <c r="C26" s="31"/>
      <c r="D26" s="31"/>
      <c r="E26" s="31"/>
      <c r="F26" s="30"/>
      <c r="G26" s="29"/>
      <c r="H26" s="29"/>
    </row>
    <row r="27" spans="1:9" x14ac:dyDescent="0.2">
      <c r="A27" s="1"/>
      <c r="C27" s="31"/>
      <c r="D27" s="31"/>
      <c r="E27" s="31"/>
      <c r="F27" s="30"/>
      <c r="G27" s="29"/>
      <c r="H27" s="29"/>
    </row>
    <row r="28" spans="1:9" x14ac:dyDescent="0.2">
      <c r="A28" s="1"/>
      <c r="C28" s="31"/>
      <c r="D28" s="31"/>
      <c r="E28" s="31"/>
      <c r="F28" s="30"/>
      <c r="G28" s="29"/>
      <c r="H28" s="29"/>
    </row>
    <row r="29" spans="1:9" x14ac:dyDescent="0.2">
      <c r="A29" s="1"/>
      <c r="C29" s="31"/>
      <c r="D29" s="31"/>
      <c r="E29" s="31"/>
      <c r="F29" s="30"/>
      <c r="G29" s="29"/>
      <c r="H29" s="29"/>
    </row>
    <row r="30" spans="1:9" x14ac:dyDescent="0.2">
      <c r="A30" s="1"/>
      <c r="C30" s="31"/>
      <c r="D30" s="31"/>
      <c r="E30" s="31"/>
      <c r="F30" s="30"/>
      <c r="G30" s="29"/>
      <c r="H30" s="29"/>
    </row>
    <row r="31" spans="1:9" x14ac:dyDescent="0.2">
      <c r="A31" s="1"/>
      <c r="C31" s="31"/>
      <c r="D31" s="31"/>
      <c r="E31" s="31"/>
      <c r="F31" s="30"/>
      <c r="G31" s="29"/>
      <c r="H31" s="29"/>
    </row>
    <row r="32" spans="1:9" x14ac:dyDescent="0.2">
      <c r="A32" s="1"/>
      <c r="C32" s="31"/>
      <c r="D32" s="31"/>
      <c r="E32" s="31"/>
      <c r="F32" s="30"/>
      <c r="G32" s="29"/>
      <c r="H32" s="29"/>
    </row>
    <row r="33" spans="1:8" x14ac:dyDescent="0.2">
      <c r="A33" s="1"/>
      <c r="C33" s="31"/>
      <c r="D33" s="31"/>
      <c r="E33" s="31"/>
      <c r="F33" s="30"/>
      <c r="G33" s="29"/>
      <c r="H33" s="29"/>
    </row>
    <row r="34" spans="1:8" x14ac:dyDescent="0.2">
      <c r="A34" s="1"/>
      <c r="C34" s="31"/>
      <c r="D34" s="31"/>
      <c r="E34" s="31"/>
      <c r="F34" s="30"/>
      <c r="G34" s="29"/>
      <c r="H34" s="29"/>
    </row>
    <row r="35" spans="1:8" x14ac:dyDescent="0.2">
      <c r="A35" s="1"/>
      <c r="C35" s="31"/>
      <c r="D35" s="31"/>
      <c r="E35" s="31"/>
      <c r="F35" s="30"/>
      <c r="G35" s="29"/>
      <c r="H35" s="29"/>
    </row>
    <row r="36" spans="1:8" x14ac:dyDescent="0.2">
      <c r="A36" s="1"/>
      <c r="C36" s="31"/>
      <c r="D36" s="31"/>
      <c r="E36" s="31"/>
      <c r="F36" s="30"/>
      <c r="G36" s="29"/>
      <c r="H36" s="29"/>
    </row>
    <row r="39" spans="1:8" x14ac:dyDescent="0.2">
      <c r="B39" s="3"/>
    </row>
    <row r="40" spans="1:8" x14ac:dyDescent="0.2">
      <c r="B40" s="4"/>
    </row>
    <row r="47" spans="1:8" x14ac:dyDescent="0.2">
      <c r="B47" s="6">
        <f t="shared" ref="B47:G47" si="3">AVERAGE(B48:B58)</f>
        <v>50.545454545454547</v>
      </c>
      <c r="C47" s="32">
        <f t="shared" si="3"/>
        <v>66.545454545454547</v>
      </c>
      <c r="D47" s="32">
        <f t="shared" si="3"/>
        <v>56.272727272727273</v>
      </c>
      <c r="E47" s="32">
        <f t="shared" si="3"/>
        <v>54.545454545454547</v>
      </c>
      <c r="F47" s="32">
        <f t="shared" si="3"/>
        <v>59.81818181818182</v>
      </c>
      <c r="G47" s="33">
        <f t="shared" si="3"/>
        <v>79.36363636363636</v>
      </c>
    </row>
    <row r="48" spans="1:8" x14ac:dyDescent="0.2">
      <c r="B48" s="7">
        <v>70</v>
      </c>
      <c r="C48" s="34">
        <v>50</v>
      </c>
      <c r="D48" s="34">
        <v>23</v>
      </c>
      <c r="E48" s="35">
        <v>40</v>
      </c>
      <c r="F48" s="36">
        <v>54</v>
      </c>
      <c r="G48" s="37">
        <v>70</v>
      </c>
    </row>
    <row r="49" spans="2:7" x14ac:dyDescent="0.2">
      <c r="B49" s="8">
        <v>30</v>
      </c>
      <c r="C49" s="38">
        <v>99</v>
      </c>
      <c r="D49" s="38">
        <v>70</v>
      </c>
      <c r="E49" s="32">
        <v>30</v>
      </c>
      <c r="F49" s="39">
        <v>30</v>
      </c>
      <c r="G49" s="40">
        <v>80</v>
      </c>
    </row>
    <row r="50" spans="2:7" x14ac:dyDescent="0.2">
      <c r="B50" s="7">
        <v>40</v>
      </c>
      <c r="C50" s="34">
        <v>87</v>
      </c>
      <c r="D50" s="34">
        <v>90</v>
      </c>
      <c r="E50" s="35">
        <v>70</v>
      </c>
      <c r="F50" s="36">
        <v>45</v>
      </c>
      <c r="G50" s="37">
        <v>90</v>
      </c>
    </row>
    <row r="51" spans="2:7" x14ac:dyDescent="0.2">
      <c r="B51" s="8">
        <v>40</v>
      </c>
      <c r="C51" s="38">
        <v>40</v>
      </c>
      <c r="D51" s="38">
        <v>67</v>
      </c>
      <c r="E51" s="32">
        <v>50</v>
      </c>
      <c r="F51" s="39">
        <v>83</v>
      </c>
      <c r="G51" s="40">
        <v>75</v>
      </c>
    </row>
    <row r="52" spans="2:7" x14ac:dyDescent="0.2">
      <c r="B52" s="7">
        <v>70</v>
      </c>
      <c r="C52" s="34">
        <v>21</v>
      </c>
      <c r="D52" s="34">
        <v>52</v>
      </c>
      <c r="E52" s="35">
        <v>20</v>
      </c>
      <c r="F52" s="36">
        <v>80</v>
      </c>
      <c r="G52" s="37">
        <v>88</v>
      </c>
    </row>
    <row r="53" spans="2:7" x14ac:dyDescent="0.2">
      <c r="B53" s="8">
        <v>70</v>
      </c>
      <c r="C53" s="38">
        <v>68</v>
      </c>
      <c r="D53" s="38">
        <v>59</v>
      </c>
      <c r="E53" s="32">
        <v>80</v>
      </c>
      <c r="F53" s="39">
        <v>70</v>
      </c>
      <c r="G53" s="40">
        <v>83</v>
      </c>
    </row>
    <row r="54" spans="2:7" x14ac:dyDescent="0.2">
      <c r="B54" s="7">
        <v>65</v>
      </c>
      <c r="C54" s="34">
        <v>73</v>
      </c>
      <c r="D54" s="34">
        <v>45</v>
      </c>
      <c r="E54" s="35">
        <v>78</v>
      </c>
      <c r="F54" s="36">
        <v>45</v>
      </c>
      <c r="G54" s="37">
        <v>84</v>
      </c>
    </row>
    <row r="55" spans="2:7" x14ac:dyDescent="0.2">
      <c r="B55" s="8">
        <v>20</v>
      </c>
      <c r="C55" s="38">
        <v>83</v>
      </c>
      <c r="D55" s="38">
        <v>31</v>
      </c>
      <c r="E55" s="32">
        <v>74</v>
      </c>
      <c r="F55" s="39">
        <v>74</v>
      </c>
      <c r="G55" s="40">
        <v>82</v>
      </c>
    </row>
    <row r="56" spans="2:7" x14ac:dyDescent="0.2">
      <c r="B56" s="7">
        <v>58</v>
      </c>
      <c r="C56" s="34">
        <v>82</v>
      </c>
      <c r="D56" s="34">
        <v>50</v>
      </c>
      <c r="E56" s="35">
        <v>40</v>
      </c>
      <c r="F56" s="36">
        <v>67</v>
      </c>
      <c r="G56" s="37">
        <v>85</v>
      </c>
    </row>
    <row r="57" spans="2:7" x14ac:dyDescent="0.2">
      <c r="B57" s="8">
        <v>20</v>
      </c>
      <c r="C57" s="38">
        <v>73</v>
      </c>
      <c r="D57" s="38">
        <v>65</v>
      </c>
      <c r="E57" s="32">
        <v>65</v>
      </c>
      <c r="F57" s="39">
        <v>65</v>
      </c>
      <c r="G57" s="40">
        <v>66</v>
      </c>
    </row>
    <row r="58" spans="2:7" x14ac:dyDescent="0.2">
      <c r="B58" s="7">
        <v>73</v>
      </c>
      <c r="C58" s="34">
        <v>56</v>
      </c>
      <c r="D58" s="34">
        <v>67</v>
      </c>
      <c r="E58" s="35">
        <v>53</v>
      </c>
      <c r="F58" s="36">
        <v>45</v>
      </c>
      <c r="G58" s="37">
        <v>70</v>
      </c>
    </row>
  </sheetData>
  <pageMargins left="0.7" right="0.7" top="0.75" bottom="0.75" header="0.3" footer="0.3"/>
  <pageSetup paperSize="9" orientation="portrait" horizontalDpi="0" verticalDpi="0" r:id="rId1"/>
  <ignoredErrors>
    <ignoredError sqref="C2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B0F0"/>
  </sheetPr>
  <dimension ref="A1:U33"/>
  <sheetViews>
    <sheetView tabSelected="1" zoomScale="70" zoomScaleNormal="70" workbookViewId="0">
      <selection activeCell="U16" sqref="U16"/>
    </sheetView>
  </sheetViews>
  <sheetFormatPr defaultRowHeight="18" x14ac:dyDescent="0.25"/>
  <cols>
    <col min="1" max="1" width="8.42578125" style="17" customWidth="1"/>
    <col min="2" max="2" width="27.140625" style="15" bestFit="1" customWidth="1"/>
    <col min="3" max="3" width="14" style="17" customWidth="1"/>
    <col min="4" max="4" width="13.42578125" style="18" customWidth="1"/>
    <col min="5" max="5" width="19.140625" style="17" customWidth="1"/>
    <col min="6" max="6" width="21.85546875" style="17" customWidth="1"/>
    <col min="7" max="8" width="15.7109375" style="17" customWidth="1"/>
    <col min="9" max="9" width="14.28515625" style="17" customWidth="1"/>
    <col min="10" max="10" width="23.28515625" style="17" customWidth="1"/>
    <col min="11" max="11" width="14" style="17" customWidth="1"/>
    <col min="12" max="12" width="12.5703125" style="17" customWidth="1"/>
    <col min="13" max="13" width="12.28515625" style="17" customWidth="1"/>
    <col min="14" max="14" width="11.5703125" style="17" customWidth="1"/>
    <col min="15" max="15" width="13.42578125" style="17" customWidth="1"/>
    <col min="16" max="16" width="23.7109375" style="17" customWidth="1"/>
    <col min="17" max="17" width="11.42578125" style="19" customWidth="1"/>
    <col min="18" max="18" width="19.42578125" style="17" customWidth="1"/>
    <col min="19" max="19" width="22.42578125" style="17" customWidth="1"/>
    <col min="20" max="20" width="16.7109375" style="17" customWidth="1"/>
    <col min="21" max="21" width="15" style="15" customWidth="1"/>
    <col min="22" max="16384" width="9.140625" style="15"/>
  </cols>
  <sheetData>
    <row r="1" spans="1:21" ht="24.75" thickTop="1" thickBot="1" x14ac:dyDescent="0.3">
      <c r="A1" s="110" t="s">
        <v>45</v>
      </c>
      <c r="B1" s="110" t="s">
        <v>10</v>
      </c>
      <c r="C1" s="107" t="s">
        <v>2</v>
      </c>
      <c r="D1" s="109"/>
      <c r="E1" s="107" t="s">
        <v>3</v>
      </c>
      <c r="F1" s="108"/>
      <c r="G1" s="108"/>
      <c r="H1" s="108"/>
      <c r="I1" s="109"/>
      <c r="J1" s="107" t="s">
        <v>4</v>
      </c>
      <c r="K1" s="109"/>
      <c r="L1" s="107" t="s">
        <v>5</v>
      </c>
      <c r="M1" s="108"/>
      <c r="N1" s="109"/>
      <c r="O1" s="107" t="s">
        <v>8</v>
      </c>
      <c r="P1" s="108"/>
      <c r="Q1" s="109"/>
      <c r="R1" s="107" t="s">
        <v>9</v>
      </c>
      <c r="S1" s="108"/>
      <c r="T1" s="109"/>
      <c r="U1" s="105" t="s">
        <v>55</v>
      </c>
    </row>
    <row r="2" spans="1:21" ht="45" customHeight="1" thickTop="1" thickBot="1" x14ac:dyDescent="0.3">
      <c r="A2" s="111"/>
      <c r="B2" s="111"/>
      <c r="C2" s="23" t="s">
        <v>36</v>
      </c>
      <c r="D2" s="25" t="s">
        <v>37</v>
      </c>
      <c r="E2" s="22" t="s">
        <v>84</v>
      </c>
      <c r="F2" s="21" t="s">
        <v>85</v>
      </c>
      <c r="G2" s="21" t="s">
        <v>86</v>
      </c>
      <c r="H2" s="21" t="s">
        <v>87</v>
      </c>
      <c r="I2" s="25" t="s">
        <v>48</v>
      </c>
      <c r="J2" s="21" t="s">
        <v>38</v>
      </c>
      <c r="K2" s="25" t="s">
        <v>49</v>
      </c>
      <c r="L2" s="21" t="s">
        <v>39</v>
      </c>
      <c r="M2" s="20" t="s">
        <v>42</v>
      </c>
      <c r="N2" s="25" t="s">
        <v>50</v>
      </c>
      <c r="O2" s="21" t="s">
        <v>41</v>
      </c>
      <c r="P2" s="21" t="s">
        <v>43</v>
      </c>
      <c r="Q2" s="25" t="s">
        <v>51</v>
      </c>
      <c r="R2" s="20" t="s">
        <v>88</v>
      </c>
      <c r="S2" s="20" t="s">
        <v>89</v>
      </c>
      <c r="T2" s="27" t="s">
        <v>52</v>
      </c>
      <c r="U2" s="106"/>
    </row>
    <row r="3" spans="1:21" ht="20.25" thickTop="1" thickBot="1" x14ac:dyDescent="0.35">
      <c r="A3" s="16">
        <v>2</v>
      </c>
      <c r="B3" s="24" t="s">
        <v>6</v>
      </c>
      <c r="C3" s="58" t="s">
        <v>64</v>
      </c>
      <c r="D3" s="26" t="str">
        <f>C3</f>
        <v>N/A</v>
      </c>
      <c r="E3" s="77" t="str">
        <f>VLOOKUP(A3,[1]Sheet1!$A$5:$I$21,9,FALSE)</f>
        <v>-</v>
      </c>
      <c r="F3" s="74">
        <v>0.7</v>
      </c>
      <c r="G3" s="56" t="s">
        <v>64</v>
      </c>
      <c r="H3" s="56" t="s">
        <v>64</v>
      </c>
      <c r="I3" s="76">
        <f>F3</f>
        <v>0.7</v>
      </c>
      <c r="J3" s="74">
        <v>0.7</v>
      </c>
      <c r="K3" s="76">
        <f>J3</f>
        <v>0.7</v>
      </c>
      <c r="L3" s="100">
        <v>0.80879999999999996</v>
      </c>
      <c r="M3" s="74">
        <v>1</v>
      </c>
      <c r="N3" s="76">
        <f t="shared" ref="N3" si="0">(L3+M3)/2</f>
        <v>0.90439999999999998</v>
      </c>
      <c r="O3" s="77">
        <v>0</v>
      </c>
      <c r="P3" s="71"/>
      <c r="Q3" s="76">
        <f>O3</f>
        <v>0</v>
      </c>
      <c r="R3" s="71">
        <v>0.65</v>
      </c>
      <c r="S3" s="78">
        <v>0</v>
      </c>
      <c r="T3" s="79">
        <v>0</v>
      </c>
      <c r="U3" s="80">
        <f>AVERAGE(D3,I3,K3,N3,Q3,T3)</f>
        <v>0.46087999999999996</v>
      </c>
    </row>
    <row r="4" spans="1:21" ht="20.25" thickTop="1" thickBot="1" x14ac:dyDescent="0.35">
      <c r="A4" s="16">
        <v>3</v>
      </c>
      <c r="B4" s="24" t="s">
        <v>18</v>
      </c>
      <c r="C4" s="74">
        <v>0.8</v>
      </c>
      <c r="D4" s="75">
        <f t="shared" ref="D4:D16" si="1">C4</f>
        <v>0.8</v>
      </c>
      <c r="E4" s="74">
        <v>0.7</v>
      </c>
      <c r="F4" s="100">
        <v>0.75</v>
      </c>
      <c r="G4" s="100">
        <v>0.75</v>
      </c>
      <c r="H4" s="77">
        <v>0.94</v>
      </c>
      <c r="I4" s="76">
        <f>(E4*30%)+(F4*20%)+(G4*20%)+(H4*30%)</f>
        <v>0.79200000000000004</v>
      </c>
      <c r="J4" s="74">
        <v>0.8</v>
      </c>
      <c r="K4" s="76">
        <f t="shared" ref="K4:K19" si="2">J4</f>
        <v>0.8</v>
      </c>
      <c r="L4" s="74">
        <v>0.7</v>
      </c>
      <c r="M4" s="74">
        <v>0.80840000000000001</v>
      </c>
      <c r="N4" s="76">
        <f>((L4-100%)+(90%-M4))/2</f>
        <v>-0.10420000000000001</v>
      </c>
      <c r="O4" s="77">
        <v>0</v>
      </c>
      <c r="P4" s="71"/>
      <c r="Q4" s="76">
        <f t="shared" ref="Q4:Q19" si="3">O4</f>
        <v>0</v>
      </c>
      <c r="R4" s="74">
        <v>0.90349999999999997</v>
      </c>
      <c r="S4" s="74">
        <v>1</v>
      </c>
      <c r="T4" s="79">
        <f t="shared" ref="T4:T19" si="4">(R4+S4)/2</f>
        <v>0.95174999999999998</v>
      </c>
      <c r="U4" s="80">
        <f t="shared" ref="U4:U19" si="5">AVERAGE(D4,I4,K4,N4,Q4,T4)</f>
        <v>0.5399250000000001</v>
      </c>
    </row>
    <row r="5" spans="1:21" ht="20.25" thickTop="1" thickBot="1" x14ac:dyDescent="0.35">
      <c r="A5" s="16">
        <v>4</v>
      </c>
      <c r="B5" s="24" t="s">
        <v>19</v>
      </c>
      <c r="C5" s="74">
        <v>0.7</v>
      </c>
      <c r="D5" s="75">
        <f t="shared" si="1"/>
        <v>0.7</v>
      </c>
      <c r="E5" s="77">
        <f>VLOOKUP(A5,[1]Sheet1!$A$5:$I$21,9,FALSE)</f>
        <v>0.74787811326005282</v>
      </c>
      <c r="F5" s="77">
        <v>0.94</v>
      </c>
      <c r="G5" s="74">
        <v>1</v>
      </c>
      <c r="H5" s="72">
        <v>0.2283</v>
      </c>
      <c r="I5" s="76">
        <f t="shared" ref="I5:I14" si="6">(E5*30%)+(F5*20%)+(G5*20%)+(H5*30%)</f>
        <v>0.6808534339780159</v>
      </c>
      <c r="J5" s="74">
        <v>0.90349999999999997</v>
      </c>
      <c r="K5" s="76">
        <f t="shared" si="2"/>
        <v>0.90349999999999997</v>
      </c>
      <c r="L5" s="74">
        <v>1</v>
      </c>
      <c r="M5" s="100">
        <v>0.75</v>
      </c>
      <c r="N5" s="76">
        <f t="shared" ref="N5:N18" si="7">((L5-100%)+(90%-M5))/2</f>
        <v>7.5000000000000011E-2</v>
      </c>
      <c r="O5" s="77">
        <v>0</v>
      </c>
      <c r="P5" s="71"/>
      <c r="Q5" s="76">
        <f t="shared" si="3"/>
        <v>0</v>
      </c>
      <c r="R5" s="74">
        <v>0.80840000000000001</v>
      </c>
      <c r="S5" s="77">
        <v>0.94</v>
      </c>
      <c r="T5" s="79">
        <f t="shared" si="4"/>
        <v>0.87419999999999998</v>
      </c>
      <c r="U5" s="80">
        <f t="shared" si="5"/>
        <v>0.53892557232966931</v>
      </c>
    </row>
    <row r="6" spans="1:21" ht="20.25" thickTop="1" thickBot="1" x14ac:dyDescent="0.35">
      <c r="A6" s="16">
        <v>5</v>
      </c>
      <c r="B6" s="24" t="s">
        <v>53</v>
      </c>
      <c r="C6" s="73">
        <v>0</v>
      </c>
      <c r="D6" s="75">
        <f t="shared" si="1"/>
        <v>0</v>
      </c>
      <c r="E6" s="100">
        <v>0.75</v>
      </c>
      <c r="F6" s="100">
        <v>0.75</v>
      </c>
      <c r="G6" s="100">
        <v>0.75</v>
      </c>
      <c r="H6" s="72">
        <v>0.36</v>
      </c>
      <c r="I6" s="76">
        <f t="shared" si="6"/>
        <v>0.63300000000000001</v>
      </c>
      <c r="J6" s="74">
        <v>0.76</v>
      </c>
      <c r="K6" s="76">
        <f t="shared" si="2"/>
        <v>0.76</v>
      </c>
      <c r="L6" s="74">
        <v>0.80840000000000001</v>
      </c>
      <c r="M6" s="74">
        <v>0.90349999999999997</v>
      </c>
      <c r="N6" s="76">
        <f t="shared" si="7"/>
        <v>-9.754999999999997E-2</v>
      </c>
      <c r="O6" s="77">
        <v>0</v>
      </c>
      <c r="P6" s="71"/>
      <c r="Q6" s="76">
        <f t="shared" si="3"/>
        <v>0</v>
      </c>
      <c r="R6" s="74">
        <v>0.8</v>
      </c>
      <c r="S6" s="71">
        <v>0.65</v>
      </c>
      <c r="T6" s="79">
        <f t="shared" si="4"/>
        <v>0.72500000000000009</v>
      </c>
      <c r="U6" s="80">
        <f t="shared" si="5"/>
        <v>0.33674166666666672</v>
      </c>
    </row>
    <row r="7" spans="1:21" ht="20.25" thickTop="1" thickBot="1" x14ac:dyDescent="0.35">
      <c r="A7" s="16">
        <v>6</v>
      </c>
      <c r="B7" s="24" t="s">
        <v>21</v>
      </c>
      <c r="C7" s="74">
        <v>1</v>
      </c>
      <c r="D7" s="75">
        <f t="shared" si="1"/>
        <v>1</v>
      </c>
      <c r="E7" s="74">
        <v>1</v>
      </c>
      <c r="F7" s="100">
        <v>0.8</v>
      </c>
      <c r="G7" s="71">
        <v>0.65</v>
      </c>
      <c r="H7" s="72">
        <v>0.26</v>
      </c>
      <c r="I7" s="76">
        <f t="shared" si="6"/>
        <v>0.66800000000000004</v>
      </c>
      <c r="J7" s="74">
        <v>0.76</v>
      </c>
      <c r="K7" s="76">
        <f t="shared" si="2"/>
        <v>0.76</v>
      </c>
      <c r="L7" s="74">
        <v>1</v>
      </c>
      <c r="M7" s="74">
        <v>0.80840000000000001</v>
      </c>
      <c r="N7" s="76">
        <f t="shared" si="7"/>
        <v>4.5800000000000007E-2</v>
      </c>
      <c r="O7" s="77">
        <v>1</v>
      </c>
      <c r="P7" s="71"/>
      <c r="Q7" s="76">
        <f t="shared" si="3"/>
        <v>1</v>
      </c>
      <c r="R7" s="71">
        <v>0.65</v>
      </c>
      <c r="S7" s="74">
        <v>0.90349999999999997</v>
      </c>
      <c r="T7" s="79">
        <f t="shared" si="4"/>
        <v>0.77675000000000005</v>
      </c>
      <c r="U7" s="80">
        <f t="shared" si="5"/>
        <v>0.70842499999999997</v>
      </c>
    </row>
    <row r="8" spans="1:21" ht="20.25" thickTop="1" thickBot="1" x14ac:dyDescent="0.35">
      <c r="A8" s="16">
        <v>7</v>
      </c>
      <c r="B8" s="24" t="s">
        <v>22</v>
      </c>
      <c r="C8" s="74">
        <v>0.80840000000000001</v>
      </c>
      <c r="D8" s="75">
        <f t="shared" si="1"/>
        <v>0.80840000000000001</v>
      </c>
      <c r="E8" s="74">
        <v>0.7</v>
      </c>
      <c r="F8" s="71">
        <v>1</v>
      </c>
      <c r="G8" s="74">
        <v>1</v>
      </c>
      <c r="H8" s="72">
        <v>0.26</v>
      </c>
      <c r="I8" s="76">
        <f t="shared" si="6"/>
        <v>0.68800000000000006</v>
      </c>
      <c r="J8" s="74">
        <v>0.7</v>
      </c>
      <c r="K8" s="76">
        <f t="shared" si="2"/>
        <v>0.7</v>
      </c>
      <c r="L8" s="100">
        <v>0.80879999999999996</v>
      </c>
      <c r="M8" s="74">
        <v>1</v>
      </c>
      <c r="N8" s="76">
        <f t="shared" si="7"/>
        <v>-0.14560000000000001</v>
      </c>
      <c r="O8" s="77">
        <v>0</v>
      </c>
      <c r="P8" s="71"/>
      <c r="Q8" s="76">
        <f t="shared" si="3"/>
        <v>0</v>
      </c>
      <c r="R8" s="77">
        <v>0.94</v>
      </c>
      <c r="S8" s="71">
        <v>0.65</v>
      </c>
      <c r="T8" s="79">
        <f t="shared" si="4"/>
        <v>0.79499999999999993</v>
      </c>
      <c r="U8" s="80">
        <f t="shared" si="5"/>
        <v>0.47429999999999994</v>
      </c>
    </row>
    <row r="9" spans="1:21" ht="20.25" thickTop="1" thickBot="1" x14ac:dyDescent="0.35">
      <c r="A9" s="16">
        <v>8</v>
      </c>
      <c r="B9" s="24" t="s">
        <v>23</v>
      </c>
      <c r="C9" s="73">
        <v>0</v>
      </c>
      <c r="D9" s="75">
        <f t="shared" si="1"/>
        <v>0</v>
      </c>
      <c r="E9" s="74">
        <v>0.76</v>
      </c>
      <c r="F9" s="74">
        <v>0.7</v>
      </c>
      <c r="G9" s="77">
        <v>0.94</v>
      </c>
      <c r="H9" s="72">
        <v>0.1457</v>
      </c>
      <c r="I9" s="76">
        <f t="shared" si="6"/>
        <v>0.59971000000000008</v>
      </c>
      <c r="J9" s="100">
        <v>0.80879999999999996</v>
      </c>
      <c r="K9" s="76">
        <f t="shared" si="2"/>
        <v>0.80879999999999996</v>
      </c>
      <c r="L9" s="74">
        <v>0.80840000000000001</v>
      </c>
      <c r="M9" s="100">
        <v>0.75</v>
      </c>
      <c r="N9" s="76">
        <f t="shared" si="7"/>
        <v>-2.0799999999999985E-2</v>
      </c>
      <c r="O9" s="77">
        <v>1</v>
      </c>
      <c r="P9" s="71"/>
      <c r="Q9" s="76">
        <f t="shared" si="3"/>
        <v>1</v>
      </c>
      <c r="R9" s="74">
        <v>0.90349999999999997</v>
      </c>
      <c r="S9" s="100">
        <v>0.75</v>
      </c>
      <c r="T9" s="79">
        <f t="shared" si="4"/>
        <v>0.82674999999999998</v>
      </c>
      <c r="U9" s="80">
        <f t="shared" si="5"/>
        <v>0.53574333333333335</v>
      </c>
    </row>
    <row r="10" spans="1:21" ht="20.25" thickTop="1" thickBot="1" x14ac:dyDescent="0.35">
      <c r="A10" s="16">
        <v>9</v>
      </c>
      <c r="B10" s="24" t="s">
        <v>24</v>
      </c>
      <c r="C10" s="100">
        <v>0.80879999999999996</v>
      </c>
      <c r="D10" s="75">
        <f>C10</f>
        <v>0.80879999999999996</v>
      </c>
      <c r="E10" s="74">
        <v>0.7</v>
      </c>
      <c r="F10" s="77">
        <v>0.94</v>
      </c>
      <c r="G10" s="74">
        <v>1</v>
      </c>
      <c r="H10" s="72">
        <v>0.2283</v>
      </c>
      <c r="I10" s="76">
        <f t="shared" si="6"/>
        <v>0.66649000000000003</v>
      </c>
      <c r="J10" s="74">
        <v>0.8</v>
      </c>
      <c r="K10" s="76">
        <f t="shared" si="2"/>
        <v>0.8</v>
      </c>
      <c r="L10" s="71">
        <v>0.9032</v>
      </c>
      <c r="M10" s="74">
        <v>0.8</v>
      </c>
      <c r="N10" s="76">
        <f t="shared" si="7"/>
        <v>1.5999999999999903E-3</v>
      </c>
      <c r="O10" s="77">
        <v>1</v>
      </c>
      <c r="P10" s="71"/>
      <c r="Q10" s="76">
        <f t="shared" si="3"/>
        <v>1</v>
      </c>
      <c r="R10" s="74">
        <v>0.80840000000000001</v>
      </c>
      <c r="S10" s="74">
        <v>1</v>
      </c>
      <c r="T10" s="79">
        <f t="shared" si="4"/>
        <v>0.9042</v>
      </c>
      <c r="U10" s="80">
        <f t="shared" si="5"/>
        <v>0.6968483333333334</v>
      </c>
    </row>
    <row r="11" spans="1:21" ht="20.25" thickTop="1" thickBot="1" x14ac:dyDescent="0.35">
      <c r="A11" s="16">
        <v>10</v>
      </c>
      <c r="B11" s="24" t="s">
        <v>25</v>
      </c>
      <c r="C11" s="73">
        <v>0</v>
      </c>
      <c r="D11" s="75">
        <f t="shared" si="1"/>
        <v>0</v>
      </c>
      <c r="E11" s="74">
        <v>0.8</v>
      </c>
      <c r="F11" s="71">
        <v>0.89549999999999996</v>
      </c>
      <c r="G11" s="77">
        <v>0.94</v>
      </c>
      <c r="H11" s="72">
        <v>0.17799999999999999</v>
      </c>
      <c r="I11" s="76">
        <f t="shared" si="6"/>
        <v>0.66049999999999998</v>
      </c>
      <c r="J11" s="100">
        <v>0.75</v>
      </c>
      <c r="K11" s="76">
        <f t="shared" si="2"/>
        <v>0.75</v>
      </c>
      <c r="L11" s="74">
        <v>0.7</v>
      </c>
      <c r="M11" s="100">
        <v>0.75</v>
      </c>
      <c r="N11" s="76">
        <f t="shared" si="7"/>
        <v>-7.5000000000000011E-2</v>
      </c>
      <c r="O11" s="77">
        <v>0</v>
      </c>
      <c r="P11" s="71"/>
      <c r="Q11" s="76">
        <f t="shared" si="3"/>
        <v>0</v>
      </c>
      <c r="R11" s="74">
        <v>0.8</v>
      </c>
      <c r="S11" s="71">
        <v>0.65</v>
      </c>
      <c r="T11" s="79">
        <f t="shared" si="4"/>
        <v>0.72500000000000009</v>
      </c>
      <c r="U11" s="80">
        <f t="shared" si="5"/>
        <v>0.3434166666666667</v>
      </c>
    </row>
    <row r="12" spans="1:21" ht="20.25" thickTop="1" thickBot="1" x14ac:dyDescent="0.35">
      <c r="A12" s="16">
        <v>11</v>
      </c>
      <c r="B12" s="24" t="s">
        <v>26</v>
      </c>
      <c r="C12" s="74">
        <v>0.76</v>
      </c>
      <c r="D12" s="75">
        <f t="shared" si="1"/>
        <v>0.76</v>
      </c>
      <c r="E12" s="77">
        <v>0.94</v>
      </c>
      <c r="F12" s="74">
        <v>0.7</v>
      </c>
      <c r="G12" s="74">
        <v>1</v>
      </c>
      <c r="H12" s="72">
        <v>0.26</v>
      </c>
      <c r="I12" s="76">
        <f t="shared" si="6"/>
        <v>0.69999999999999984</v>
      </c>
      <c r="J12" s="74">
        <v>0.8</v>
      </c>
      <c r="K12" s="76">
        <f t="shared" si="2"/>
        <v>0.8</v>
      </c>
      <c r="L12" s="74">
        <v>1</v>
      </c>
      <c r="M12" s="74">
        <v>0.90349999999999997</v>
      </c>
      <c r="N12" s="76">
        <f t="shared" si="7"/>
        <v>-1.7499999999999738E-3</v>
      </c>
      <c r="O12" s="77">
        <v>1</v>
      </c>
      <c r="P12" s="71"/>
      <c r="Q12" s="76">
        <f t="shared" si="3"/>
        <v>1</v>
      </c>
      <c r="R12" s="77">
        <v>0.94</v>
      </c>
      <c r="S12" s="74">
        <v>0.90349999999999997</v>
      </c>
      <c r="T12" s="79">
        <f t="shared" si="4"/>
        <v>0.92174999999999996</v>
      </c>
      <c r="U12" s="80">
        <f t="shared" si="5"/>
        <v>0.69666666666666666</v>
      </c>
    </row>
    <row r="13" spans="1:21" ht="20.25" thickTop="1" thickBot="1" x14ac:dyDescent="0.35">
      <c r="A13" s="16">
        <v>12</v>
      </c>
      <c r="B13" s="24" t="s">
        <v>27</v>
      </c>
      <c r="C13" s="73">
        <v>0</v>
      </c>
      <c r="D13" s="75">
        <f t="shared" si="1"/>
        <v>0</v>
      </c>
      <c r="E13" s="74">
        <v>0.8</v>
      </c>
      <c r="F13" s="100">
        <v>0.75</v>
      </c>
      <c r="G13" s="77">
        <v>0.94</v>
      </c>
      <c r="H13" s="72">
        <v>0.26</v>
      </c>
      <c r="I13" s="76">
        <f t="shared" si="6"/>
        <v>0.65600000000000003</v>
      </c>
      <c r="J13" s="100">
        <v>0.75</v>
      </c>
      <c r="K13" s="76">
        <f t="shared" si="2"/>
        <v>0.75</v>
      </c>
      <c r="L13" s="100">
        <v>0.80879999999999996</v>
      </c>
      <c r="M13" s="100">
        <v>0.75</v>
      </c>
      <c r="N13" s="76">
        <f t="shared" si="7"/>
        <v>-2.0600000000000007E-2</v>
      </c>
      <c r="O13" s="77">
        <v>1</v>
      </c>
      <c r="P13" s="71"/>
      <c r="Q13" s="76">
        <f t="shared" si="3"/>
        <v>1</v>
      </c>
      <c r="R13" s="71">
        <v>0.65</v>
      </c>
      <c r="S13" s="74">
        <v>1</v>
      </c>
      <c r="T13" s="79">
        <f t="shared" si="4"/>
        <v>0.82499999999999996</v>
      </c>
      <c r="U13" s="80">
        <f t="shared" si="5"/>
        <v>0.53506666666666669</v>
      </c>
    </row>
    <row r="14" spans="1:21" ht="20.25" thickTop="1" thickBot="1" x14ac:dyDescent="0.35">
      <c r="A14" s="16">
        <v>13</v>
      </c>
      <c r="B14" s="24" t="s">
        <v>28</v>
      </c>
      <c r="C14" s="74">
        <v>0.90349999999999997</v>
      </c>
      <c r="D14" s="75">
        <f t="shared" si="1"/>
        <v>0.90349999999999997</v>
      </c>
      <c r="E14" s="74">
        <v>0.8</v>
      </c>
      <c r="F14" s="77">
        <v>0.94</v>
      </c>
      <c r="G14" s="71">
        <v>0.9</v>
      </c>
      <c r="H14" s="72">
        <v>0.26</v>
      </c>
      <c r="I14" s="76">
        <f t="shared" si="6"/>
        <v>0.68599999999999994</v>
      </c>
      <c r="J14" s="100">
        <v>0.75</v>
      </c>
      <c r="K14" s="76">
        <f t="shared" si="2"/>
        <v>0.75</v>
      </c>
      <c r="L14" s="74">
        <v>1</v>
      </c>
      <c r="M14" s="74">
        <v>1</v>
      </c>
      <c r="N14" s="76">
        <f t="shared" si="7"/>
        <v>-4.9999999999999989E-2</v>
      </c>
      <c r="O14" s="77">
        <v>0</v>
      </c>
      <c r="P14" s="71"/>
      <c r="Q14" s="76">
        <f t="shared" si="3"/>
        <v>0</v>
      </c>
      <c r="R14" s="74">
        <v>0.90349999999999997</v>
      </c>
      <c r="S14" s="77">
        <v>0.94</v>
      </c>
      <c r="T14" s="79">
        <f t="shared" si="4"/>
        <v>0.92174999999999996</v>
      </c>
      <c r="U14" s="80">
        <f t="shared" si="5"/>
        <v>0.5352083333333334</v>
      </c>
    </row>
    <row r="15" spans="1:21" ht="20.25" thickTop="1" thickBot="1" x14ac:dyDescent="0.35">
      <c r="A15" s="16">
        <v>14</v>
      </c>
      <c r="B15" s="24" t="s">
        <v>29</v>
      </c>
      <c r="C15" s="73">
        <v>0</v>
      </c>
      <c r="D15" s="75">
        <f t="shared" si="1"/>
        <v>0</v>
      </c>
      <c r="E15" s="74">
        <v>1</v>
      </c>
      <c r="F15" s="100">
        <v>0.8</v>
      </c>
      <c r="G15" s="77">
        <v>0.94</v>
      </c>
      <c r="H15" s="77">
        <v>0.94</v>
      </c>
      <c r="I15" s="76">
        <f>(E15*30%)+(F15*20%)+(G15*20%)+(H15*30%)</f>
        <v>0.92999999999999994</v>
      </c>
      <c r="J15" s="74">
        <v>0.90349999999999997</v>
      </c>
      <c r="K15" s="76">
        <f t="shared" si="2"/>
        <v>0.90349999999999997</v>
      </c>
      <c r="L15" s="74">
        <v>0.80840000000000001</v>
      </c>
      <c r="M15" s="74">
        <v>0.8</v>
      </c>
      <c r="N15" s="76">
        <f t="shared" si="7"/>
        <v>-4.5800000000000007E-2</v>
      </c>
      <c r="O15" s="77">
        <v>1</v>
      </c>
      <c r="P15" s="71"/>
      <c r="Q15" s="76">
        <f t="shared" si="3"/>
        <v>1</v>
      </c>
      <c r="R15" s="77">
        <v>0.94</v>
      </c>
      <c r="S15" s="71">
        <v>0.65</v>
      </c>
      <c r="T15" s="79">
        <f t="shared" si="4"/>
        <v>0.79499999999999993</v>
      </c>
      <c r="U15" s="80">
        <f t="shared" si="5"/>
        <v>0.59711666666666663</v>
      </c>
    </row>
    <row r="16" spans="1:21" ht="20.25" thickTop="1" thickBot="1" x14ac:dyDescent="0.35">
      <c r="A16" s="16">
        <v>15</v>
      </c>
      <c r="B16" s="24" t="s">
        <v>30</v>
      </c>
      <c r="C16" s="73">
        <v>0</v>
      </c>
      <c r="D16" s="75">
        <f t="shared" si="1"/>
        <v>0</v>
      </c>
      <c r="E16" s="74">
        <v>0.8</v>
      </c>
      <c r="F16" s="71">
        <v>1</v>
      </c>
      <c r="G16" s="70" t="s">
        <v>64</v>
      </c>
      <c r="H16" s="70" t="s">
        <v>64</v>
      </c>
      <c r="I16" s="76">
        <f>(E16*60%)+(F16*40%)</f>
        <v>0.88</v>
      </c>
      <c r="J16" s="74">
        <v>0.8</v>
      </c>
      <c r="K16" s="76">
        <f t="shared" si="2"/>
        <v>0.8</v>
      </c>
      <c r="L16" s="100">
        <v>0.80879999999999996</v>
      </c>
      <c r="M16" s="74">
        <v>0.90349999999999997</v>
      </c>
      <c r="N16" s="76">
        <f t="shared" si="7"/>
        <v>-9.7349999999999992E-2</v>
      </c>
      <c r="O16" s="77">
        <v>1</v>
      </c>
      <c r="P16" s="71"/>
      <c r="Q16" s="76">
        <f t="shared" si="3"/>
        <v>1</v>
      </c>
      <c r="R16" s="74">
        <v>0.80840000000000001</v>
      </c>
      <c r="S16" s="74">
        <v>0.90349999999999997</v>
      </c>
      <c r="T16" s="79">
        <f t="shared" si="4"/>
        <v>0.85594999999999999</v>
      </c>
      <c r="U16" s="80">
        <f t="shared" si="5"/>
        <v>0.57310000000000005</v>
      </c>
    </row>
    <row r="17" spans="1:21" ht="20.25" thickTop="1" thickBot="1" x14ac:dyDescent="0.35">
      <c r="A17" s="16">
        <v>16</v>
      </c>
      <c r="B17" s="24" t="s">
        <v>31</v>
      </c>
      <c r="C17" s="100">
        <v>0.75</v>
      </c>
      <c r="D17" s="75">
        <f>C17</f>
        <v>0.75</v>
      </c>
      <c r="E17" s="74">
        <v>0.7</v>
      </c>
      <c r="F17" s="71">
        <v>0.92330000000000001</v>
      </c>
      <c r="G17" s="71">
        <v>0.50539999999999996</v>
      </c>
      <c r="H17" s="71">
        <v>0.89590000000000003</v>
      </c>
      <c r="I17" s="76">
        <f>(E17*60%)+(F17*40%)+(G17*20%)+(H17*30%)</f>
        <v>1.15917</v>
      </c>
      <c r="J17" s="74">
        <v>0.7</v>
      </c>
      <c r="K17" s="76">
        <f t="shared" si="2"/>
        <v>0.7</v>
      </c>
      <c r="L17" s="74">
        <v>0.7</v>
      </c>
      <c r="M17" s="74">
        <v>0.8</v>
      </c>
      <c r="N17" s="76">
        <f t="shared" si="7"/>
        <v>-0.10000000000000003</v>
      </c>
      <c r="O17" s="77">
        <v>0</v>
      </c>
      <c r="P17" s="71"/>
      <c r="Q17" s="76">
        <f t="shared" si="3"/>
        <v>0</v>
      </c>
      <c r="R17" s="74">
        <v>0.8</v>
      </c>
      <c r="S17" s="74">
        <v>1</v>
      </c>
      <c r="T17" s="79">
        <f t="shared" si="4"/>
        <v>0.9</v>
      </c>
      <c r="U17" s="80">
        <f t="shared" si="5"/>
        <v>0.56819499999999989</v>
      </c>
    </row>
    <row r="18" spans="1:21" ht="20.25" thickTop="1" thickBot="1" x14ac:dyDescent="0.35">
      <c r="A18" s="16">
        <v>17</v>
      </c>
      <c r="B18" s="24" t="s">
        <v>7</v>
      </c>
      <c r="C18" s="58" t="s">
        <v>64</v>
      </c>
      <c r="D18" s="26" t="s">
        <v>64</v>
      </c>
      <c r="E18" s="74">
        <v>1</v>
      </c>
      <c r="F18" s="100">
        <v>0.8</v>
      </c>
      <c r="G18" s="56" t="s">
        <v>64</v>
      </c>
      <c r="H18" s="56" t="s">
        <v>64</v>
      </c>
      <c r="I18" s="76">
        <f t="shared" ref="I17:I18" si="8">(E18*60%)+(F18*40%)</f>
        <v>0.92</v>
      </c>
      <c r="J18" s="74">
        <v>0.8</v>
      </c>
      <c r="K18" s="76">
        <f t="shared" si="2"/>
        <v>0.8</v>
      </c>
      <c r="L18" s="74">
        <v>1</v>
      </c>
      <c r="M18" s="74">
        <v>1</v>
      </c>
      <c r="N18" s="76">
        <f t="shared" si="7"/>
        <v>-4.9999999999999989E-2</v>
      </c>
      <c r="O18" s="77">
        <v>1</v>
      </c>
      <c r="P18" s="71"/>
      <c r="Q18" s="76">
        <f t="shared" si="3"/>
        <v>1</v>
      </c>
      <c r="R18" s="74">
        <v>0.90349999999999997</v>
      </c>
      <c r="S18" s="100">
        <v>0.75</v>
      </c>
      <c r="T18" s="79">
        <f t="shared" si="4"/>
        <v>0.82674999999999998</v>
      </c>
      <c r="U18" s="80">
        <f t="shared" si="5"/>
        <v>0.69935000000000003</v>
      </c>
    </row>
    <row r="19" spans="1:21" ht="20.25" thickTop="1" thickBot="1" x14ac:dyDescent="0.35">
      <c r="A19" s="16">
        <v>18</v>
      </c>
      <c r="B19" s="24" t="s">
        <v>32</v>
      </c>
      <c r="C19" s="58" t="s">
        <v>64</v>
      </c>
      <c r="D19" s="26" t="s">
        <v>64</v>
      </c>
      <c r="E19" s="77" t="str">
        <f>VLOOKUP(A19,[1]Sheet1!$A$5:$I$21,9,FALSE)</f>
        <v>-</v>
      </c>
      <c r="F19" s="100">
        <v>0.8</v>
      </c>
      <c r="G19" s="56" t="s">
        <v>64</v>
      </c>
      <c r="H19" s="56" t="s">
        <v>64</v>
      </c>
      <c r="I19" s="76">
        <f>F19*20%</f>
        <v>0.16000000000000003</v>
      </c>
      <c r="J19" s="74">
        <v>0.90349999999999997</v>
      </c>
      <c r="K19" s="76">
        <f t="shared" si="2"/>
        <v>0.90349999999999997</v>
      </c>
      <c r="L19" s="74">
        <v>0.7</v>
      </c>
      <c r="M19" s="74">
        <v>1</v>
      </c>
      <c r="N19" s="76">
        <f>M19</f>
        <v>1</v>
      </c>
      <c r="O19" s="77">
        <v>0</v>
      </c>
      <c r="P19" s="71"/>
      <c r="Q19" s="76">
        <f t="shared" si="3"/>
        <v>0</v>
      </c>
      <c r="R19" s="71">
        <v>0.65</v>
      </c>
      <c r="S19" s="77">
        <v>0.94</v>
      </c>
      <c r="T19" s="79">
        <f t="shared" si="4"/>
        <v>0.79499999999999993</v>
      </c>
      <c r="U19" s="80">
        <f t="shared" si="5"/>
        <v>0.57169999999999999</v>
      </c>
    </row>
    <row r="20" spans="1:21" ht="19.5" thickTop="1" x14ac:dyDescent="0.3">
      <c r="B20" s="42" t="s">
        <v>56</v>
      </c>
      <c r="C20" s="19"/>
      <c r="E20" s="45"/>
      <c r="F20" s="44"/>
      <c r="G20" s="44"/>
      <c r="H20" s="45"/>
      <c r="I20" s="19"/>
      <c r="J20" s="19"/>
      <c r="K20" s="19"/>
    </row>
    <row r="21" spans="1:21" x14ac:dyDescent="0.25">
      <c r="B21" s="43"/>
      <c r="C21" s="15" t="s">
        <v>63</v>
      </c>
      <c r="D21" s="17"/>
      <c r="E21" s="44"/>
      <c r="F21" s="44"/>
      <c r="G21" s="44"/>
      <c r="H21" s="44"/>
      <c r="I21" s="19"/>
      <c r="J21" s="19"/>
      <c r="K21" s="19"/>
    </row>
    <row r="22" spans="1:21" x14ac:dyDescent="0.25">
      <c r="B22" s="59"/>
      <c r="C22" s="60" t="s">
        <v>65</v>
      </c>
      <c r="D22" s="61"/>
      <c r="I22" s="19"/>
      <c r="J22" s="19"/>
      <c r="K22" s="19"/>
    </row>
    <row r="23" spans="1:21" x14ac:dyDescent="0.25">
      <c r="B23" s="62"/>
      <c r="C23" s="60" t="s">
        <v>66</v>
      </c>
    </row>
    <row r="26" spans="1:21" x14ac:dyDescent="0.25">
      <c r="F26" s="67"/>
    </row>
    <row r="30" spans="1:21" x14ac:dyDescent="0.25">
      <c r="F30" s="68"/>
    </row>
    <row r="33" spans="5:5" x14ac:dyDescent="0.25">
      <c r="E33" s="67"/>
    </row>
  </sheetData>
  <mergeCells count="9">
    <mergeCell ref="U1:U2"/>
    <mergeCell ref="R1:T1"/>
    <mergeCell ref="A1:A2"/>
    <mergeCell ref="B1:B2"/>
    <mergeCell ref="C1:D1"/>
    <mergeCell ref="E1:I1"/>
    <mergeCell ref="J1:K1"/>
    <mergeCell ref="L1:N1"/>
    <mergeCell ref="O1:Q1"/>
  </mergeCell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3:J25"/>
  <sheetViews>
    <sheetView showGridLines="0" topLeftCell="A4" zoomScale="85" zoomScaleNormal="85" workbookViewId="0">
      <selection activeCell="J20" sqref="J20"/>
    </sheetView>
  </sheetViews>
  <sheetFormatPr defaultRowHeight="12.75" x14ac:dyDescent="0.2"/>
  <cols>
    <col min="1" max="1" width="5.28515625" customWidth="1"/>
    <col min="2" max="2" width="4" customWidth="1"/>
    <col min="3" max="3" width="14.5703125" customWidth="1"/>
    <col min="4" max="4" width="3.28515625" customWidth="1"/>
    <col min="6" max="6" width="15.7109375" customWidth="1"/>
    <col min="7" max="7" width="11.42578125" customWidth="1"/>
    <col min="8" max="8" width="14.28515625" customWidth="1"/>
    <col min="9" max="9" width="11.5703125" customWidth="1"/>
  </cols>
  <sheetData>
    <row r="3" spans="1:9" x14ac:dyDescent="0.2">
      <c r="A3" s="130" t="s">
        <v>68</v>
      </c>
      <c r="B3" s="131"/>
      <c r="C3" s="131"/>
      <c r="D3" s="131"/>
      <c r="E3" s="131"/>
      <c r="F3" s="131"/>
      <c r="G3" s="131"/>
      <c r="H3" s="131"/>
    </row>
    <row r="4" spans="1:9" x14ac:dyDescent="0.2">
      <c r="A4" s="130" t="s">
        <v>69</v>
      </c>
      <c r="B4" s="131"/>
      <c r="C4" s="131"/>
      <c r="D4" s="131"/>
      <c r="E4" s="131"/>
      <c r="F4" s="131"/>
      <c r="G4" s="131"/>
      <c r="H4" s="131"/>
    </row>
    <row r="5" spans="1:9" x14ac:dyDescent="0.2">
      <c r="A5" s="130" t="s">
        <v>70</v>
      </c>
      <c r="B5" s="131"/>
      <c r="C5" s="131"/>
      <c r="D5" s="131"/>
      <c r="E5" s="131"/>
      <c r="F5" s="131"/>
      <c r="G5" s="131"/>
      <c r="H5" s="131"/>
    </row>
    <row r="8" spans="1:9" x14ac:dyDescent="0.2">
      <c r="B8" t="s">
        <v>71</v>
      </c>
      <c r="D8" s="14" t="s">
        <v>72</v>
      </c>
      <c r="E8" t="e">
        <f>VLOOKUP(J20,LEDGER!$A$4:$U$19,3,FALSE)</f>
        <v>#N/A</v>
      </c>
    </row>
    <row r="9" spans="1:9" x14ac:dyDescent="0.2">
      <c r="B9" t="s">
        <v>73</v>
      </c>
      <c r="D9" s="14" t="s">
        <v>72</v>
      </c>
    </row>
    <row r="10" spans="1:9" x14ac:dyDescent="0.2">
      <c r="B10" t="s">
        <v>74</v>
      </c>
      <c r="D10" s="14" t="s">
        <v>72</v>
      </c>
    </row>
    <row r="12" spans="1:9" x14ac:dyDescent="0.2">
      <c r="B12" s="112" t="s">
        <v>57</v>
      </c>
      <c r="C12" s="133" t="s">
        <v>75</v>
      </c>
      <c r="D12" s="134"/>
      <c r="E12" s="133" t="s">
        <v>76</v>
      </c>
      <c r="F12" s="134"/>
      <c r="G12" s="112" t="s">
        <v>77</v>
      </c>
      <c r="H12" s="112" t="s">
        <v>56</v>
      </c>
      <c r="I12" s="12"/>
    </row>
    <row r="13" spans="1:9" x14ac:dyDescent="0.2">
      <c r="B13" s="113"/>
      <c r="C13" s="135"/>
      <c r="D13" s="136"/>
      <c r="E13" s="135"/>
      <c r="F13" s="136"/>
      <c r="G13" s="113"/>
      <c r="H13" s="113"/>
      <c r="I13" s="12"/>
    </row>
    <row r="14" spans="1:9" x14ac:dyDescent="0.2">
      <c r="B14" s="63">
        <v>1</v>
      </c>
      <c r="C14" s="114" t="s">
        <v>12</v>
      </c>
      <c r="D14" s="115"/>
      <c r="E14" s="114" t="s">
        <v>36</v>
      </c>
      <c r="F14" s="115"/>
      <c r="G14" s="66" t="e">
        <f>VLOOKUP(J20,LEDGER!$A$4:$U$19,4,FALSE)</f>
        <v>#N/A</v>
      </c>
      <c r="H14" s="64"/>
    </row>
    <row r="15" spans="1:9" x14ac:dyDescent="0.2">
      <c r="B15" s="112">
        <v>2</v>
      </c>
      <c r="C15" s="116" t="s">
        <v>13</v>
      </c>
      <c r="D15" s="117"/>
      <c r="E15" s="114" t="s">
        <v>44</v>
      </c>
      <c r="F15" s="115"/>
      <c r="G15" s="66" t="e">
        <f>VLOOKUP(J20,LEDGER!$A$4:$U$19,6,FALSE)</f>
        <v>#N/A</v>
      </c>
      <c r="H15" s="64"/>
    </row>
    <row r="16" spans="1:9" x14ac:dyDescent="0.2">
      <c r="B16" s="132"/>
      <c r="C16" s="124"/>
      <c r="D16" s="125"/>
      <c r="E16" s="114" t="s">
        <v>78</v>
      </c>
      <c r="F16" s="115"/>
      <c r="G16" s="66" t="e">
        <f>VLOOKUP(J20,LEDGER!$A$4:$U$19,7,FALSE)</f>
        <v>#N/A</v>
      </c>
      <c r="H16" s="65"/>
    </row>
    <row r="17" spans="2:10" x14ac:dyDescent="0.2">
      <c r="B17" s="132"/>
      <c r="C17" s="124"/>
      <c r="D17" s="125"/>
      <c r="E17" s="114" t="s">
        <v>79</v>
      </c>
      <c r="F17" s="115"/>
      <c r="G17" s="66" t="e">
        <f>VLOOKUP(J20,LEDGER!$A$4:$U$19,8,FALSE)</f>
        <v>#N/A</v>
      </c>
      <c r="H17" s="65"/>
    </row>
    <row r="18" spans="2:10" x14ac:dyDescent="0.2">
      <c r="B18" s="113"/>
      <c r="C18" s="118"/>
      <c r="D18" s="119"/>
      <c r="E18" s="114" t="s">
        <v>80</v>
      </c>
      <c r="F18" s="115"/>
      <c r="G18" s="66" t="e">
        <f>VLOOKUP(J20,LEDGER!$A$4:$U$19,9,FALSE)</f>
        <v>#N/A</v>
      </c>
      <c r="H18" s="65"/>
    </row>
    <row r="19" spans="2:10" x14ac:dyDescent="0.2">
      <c r="B19" s="112">
        <v>3</v>
      </c>
      <c r="C19" s="116" t="s">
        <v>14</v>
      </c>
      <c r="D19" s="117"/>
      <c r="E19" s="120" t="s">
        <v>81</v>
      </c>
      <c r="F19" s="121"/>
      <c r="G19" s="126" t="e">
        <f>VLOOKUP(J20,LEDGER!$A$4:$U$19,11,FALSE)</f>
        <v>#N/A</v>
      </c>
      <c r="H19" s="128"/>
      <c r="J19" s="63" t="s">
        <v>83</v>
      </c>
    </row>
    <row r="20" spans="2:10" x14ac:dyDescent="0.2">
      <c r="B20" s="113"/>
      <c r="C20" s="118"/>
      <c r="D20" s="119"/>
      <c r="E20" s="122"/>
      <c r="F20" s="123"/>
      <c r="G20" s="127"/>
      <c r="H20" s="129"/>
      <c r="J20" s="63">
        <v>1</v>
      </c>
    </row>
    <row r="21" spans="2:10" x14ac:dyDescent="0.2">
      <c r="B21" s="112">
        <v>4</v>
      </c>
      <c r="C21" s="116" t="s">
        <v>15</v>
      </c>
      <c r="D21" s="117"/>
      <c r="E21" s="114" t="s">
        <v>39</v>
      </c>
      <c r="F21" s="115"/>
      <c r="G21" s="66" t="e">
        <f>VLOOKUP(J20,LEDGER!$A$4:$U$19,13,FALSE)</f>
        <v>#N/A</v>
      </c>
      <c r="H21" s="65"/>
    </row>
    <row r="22" spans="2:10" x14ac:dyDescent="0.2">
      <c r="B22" s="113"/>
      <c r="C22" s="118"/>
      <c r="D22" s="119"/>
      <c r="E22" s="114" t="s">
        <v>42</v>
      </c>
      <c r="F22" s="115"/>
      <c r="G22" s="66" t="e">
        <f>VLOOKUP(J20,LEDGER!$A$4:$U$19,14,FALSE)</f>
        <v>#N/A</v>
      </c>
      <c r="H22" s="65"/>
    </row>
    <row r="23" spans="2:10" x14ac:dyDescent="0.2">
      <c r="B23" s="63">
        <v>5</v>
      </c>
      <c r="C23" s="114" t="s">
        <v>16</v>
      </c>
      <c r="D23" s="115"/>
      <c r="E23" s="114" t="s">
        <v>82</v>
      </c>
      <c r="F23" s="115"/>
      <c r="G23" s="66" t="e">
        <f>VLOOKUP(J20,LEDGER!$A$4:$U$19,16,FALSE)</f>
        <v>#N/A</v>
      </c>
      <c r="H23" s="65"/>
    </row>
    <row r="24" spans="2:10" x14ac:dyDescent="0.2">
      <c r="B24" s="112">
        <v>6</v>
      </c>
      <c r="C24" s="116" t="s">
        <v>17</v>
      </c>
      <c r="D24" s="117"/>
      <c r="E24" s="114" t="s">
        <v>47</v>
      </c>
      <c r="F24" s="115"/>
      <c r="G24" s="66" t="e">
        <f>VLOOKUP(J20,LEDGER!$A$4:$U$19,19,FALSE)</f>
        <v>#N/A</v>
      </c>
      <c r="H24" s="65"/>
    </row>
    <row r="25" spans="2:10" x14ac:dyDescent="0.2">
      <c r="B25" s="113"/>
      <c r="C25" s="118"/>
      <c r="D25" s="119"/>
      <c r="E25" s="114" t="s">
        <v>40</v>
      </c>
      <c r="F25" s="115"/>
      <c r="G25" s="66" t="e">
        <f>VLOOKUP(J20,LEDGER!$A$4:$U$19,20,FALSE)</f>
        <v>#N/A</v>
      </c>
      <c r="H25" s="65"/>
    </row>
  </sheetData>
  <mergeCells count="31">
    <mergeCell ref="G19:G20"/>
    <mergeCell ref="H19:H20"/>
    <mergeCell ref="A3:H3"/>
    <mergeCell ref="A4:H4"/>
    <mergeCell ref="A5:H5"/>
    <mergeCell ref="B15:B18"/>
    <mergeCell ref="B12:B13"/>
    <mergeCell ref="C12:D13"/>
    <mergeCell ref="E12:F13"/>
    <mergeCell ref="C19:D20"/>
    <mergeCell ref="C21:D22"/>
    <mergeCell ref="C23:D23"/>
    <mergeCell ref="C14:D14"/>
    <mergeCell ref="E14:F14"/>
    <mergeCell ref="E15:F15"/>
    <mergeCell ref="B24:B25"/>
    <mergeCell ref="B21:B22"/>
    <mergeCell ref="B19:B20"/>
    <mergeCell ref="G12:G13"/>
    <mergeCell ref="H12:H13"/>
    <mergeCell ref="E16:F16"/>
    <mergeCell ref="E17:F17"/>
    <mergeCell ref="E18:F18"/>
    <mergeCell ref="C24:D25"/>
    <mergeCell ref="E23:F23"/>
    <mergeCell ref="E24:F24"/>
    <mergeCell ref="E25:F25"/>
    <mergeCell ref="E21:F21"/>
    <mergeCell ref="E22:F22"/>
    <mergeCell ref="E19:F20"/>
    <mergeCell ref="C15:D18"/>
  </mergeCells>
  <pageMargins left="0.7" right="0.7" top="0.75" bottom="0.75" header="0.3" footer="0.3"/>
  <pageSetup paperSize="9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Spinner 1">
              <controlPr defaultSize="0" autoPict="0">
                <anchor moveWithCells="1" sizeWithCells="1">
                  <from>
                    <xdr:col>10</xdr:col>
                    <xdr:colOff>38100</xdr:colOff>
                    <xdr:row>18</xdr:row>
                    <xdr:rowOff>9525</xdr:rowOff>
                  </from>
                  <to>
                    <xdr:col>10</xdr:col>
                    <xdr:colOff>476250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224783"/>
  </sheetPr>
  <dimension ref="A13:J100"/>
  <sheetViews>
    <sheetView view="pageLayout" topLeftCell="A3" zoomScaleNormal="40" workbookViewId="0">
      <selection activeCell="G14" sqref="G14:G16"/>
    </sheetView>
  </sheetViews>
  <sheetFormatPr defaultRowHeight="12.75" x14ac:dyDescent="0.2"/>
  <cols>
    <col min="1" max="1" width="3.7109375" customWidth="1"/>
    <col min="2" max="2" width="11" customWidth="1"/>
    <col min="3" max="3" width="18.5703125" customWidth="1"/>
    <col min="4" max="4" width="11.28515625" customWidth="1"/>
    <col min="5" max="5" width="13" customWidth="1"/>
    <col min="6" max="6" width="13.5703125" customWidth="1"/>
    <col min="7" max="7" width="16.28515625" customWidth="1"/>
  </cols>
  <sheetData>
    <row r="13" spans="1:7" ht="4.5" customHeight="1" x14ac:dyDescent="0.2"/>
    <row r="14" spans="1:7" ht="12.75" customHeight="1" x14ac:dyDescent="0.2">
      <c r="A14" s="155" t="s">
        <v>110</v>
      </c>
      <c r="B14" s="155"/>
      <c r="C14" s="142" t="str">
        <f>VLOOKUP(J21,LEDGER!$A$1:$U$18,2,FALSE)</f>
        <v>Tanjung Pinang</v>
      </c>
      <c r="D14" s="142"/>
      <c r="F14" s="153" t="s">
        <v>120</v>
      </c>
      <c r="G14" s="155">
        <f>VLOOKUP(J21,RANGKING!$A$3:$D$17,4,FALSE)</f>
        <v>1</v>
      </c>
    </row>
    <row r="15" spans="1:7" ht="12.75" customHeight="1" x14ac:dyDescent="0.2">
      <c r="A15" s="155"/>
      <c r="B15" s="155"/>
      <c r="C15" s="142"/>
      <c r="D15" s="142"/>
      <c r="E15" s="85"/>
      <c r="F15" s="153"/>
      <c r="G15" s="155"/>
    </row>
    <row r="16" spans="1:7" ht="12.75" customHeight="1" x14ac:dyDescent="0.2">
      <c r="A16" s="156"/>
      <c r="B16" s="156"/>
      <c r="C16" s="143"/>
      <c r="D16" s="143"/>
      <c r="E16" s="85"/>
      <c r="F16" s="154"/>
      <c r="G16" s="156"/>
    </row>
    <row r="17" spans="1:10" ht="12.75" customHeight="1" x14ac:dyDescent="0.2">
      <c r="A17" s="184" t="s">
        <v>57</v>
      </c>
      <c r="B17" s="177" t="s">
        <v>75</v>
      </c>
      <c r="C17" s="177" t="s">
        <v>76</v>
      </c>
      <c r="D17" s="177" t="s">
        <v>77</v>
      </c>
      <c r="E17" s="177" t="s">
        <v>90</v>
      </c>
      <c r="F17" s="177" t="s">
        <v>56</v>
      </c>
      <c r="G17" s="179" t="s">
        <v>91</v>
      </c>
    </row>
    <row r="18" spans="1:10" ht="12.75" customHeight="1" x14ac:dyDescent="0.2">
      <c r="A18" s="185"/>
      <c r="B18" s="178"/>
      <c r="C18" s="178"/>
      <c r="D18" s="178"/>
      <c r="E18" s="178"/>
      <c r="F18" s="178"/>
      <c r="G18" s="180"/>
    </row>
    <row r="19" spans="1:10" ht="13.5" customHeight="1" x14ac:dyDescent="0.2">
      <c r="A19" s="157" t="s">
        <v>92</v>
      </c>
      <c r="B19" s="166" t="s">
        <v>12</v>
      </c>
      <c r="C19" s="159" t="s">
        <v>36</v>
      </c>
      <c r="D19" s="169">
        <f>VLOOKUP(J21,LEDGER!$A$1:$U$18,4,FALSE)</f>
        <v>1</v>
      </c>
      <c r="E19" s="169">
        <f>VLOOKUP(J21,LEDGER!$A$1:$U$18,5,FALSE)</f>
        <v>1</v>
      </c>
      <c r="F19" s="181"/>
      <c r="G19" s="183" t="s">
        <v>93</v>
      </c>
    </row>
    <row r="20" spans="1:10" ht="15" customHeight="1" x14ac:dyDescent="0.2">
      <c r="A20" s="158"/>
      <c r="B20" s="168"/>
      <c r="C20" s="160"/>
      <c r="D20" s="170"/>
      <c r="E20" s="170"/>
      <c r="F20" s="182"/>
      <c r="G20" s="158"/>
      <c r="J20" s="84" t="s">
        <v>119</v>
      </c>
    </row>
    <row r="21" spans="1:10" ht="14.25" customHeight="1" x14ac:dyDescent="0.2">
      <c r="A21" s="163" t="s">
        <v>94</v>
      </c>
      <c r="B21" s="174" t="s">
        <v>13</v>
      </c>
      <c r="C21" s="159" t="s">
        <v>95</v>
      </c>
      <c r="D21" s="169">
        <f>VLOOKUP(J21,LEDGER!$A$1:$U$18,6,FALSE)</f>
        <v>0.8</v>
      </c>
      <c r="E21" s="169">
        <f>VLOOKUP(J21,LEDGER!$A$1:$U$18,10,FALSE)</f>
        <v>0.76</v>
      </c>
      <c r="F21" s="86"/>
      <c r="G21" s="157" t="s">
        <v>96</v>
      </c>
      <c r="J21" s="84">
        <v>6</v>
      </c>
    </row>
    <row r="22" spans="1:10" ht="23.25" customHeight="1" x14ac:dyDescent="0.2">
      <c r="A22" s="164"/>
      <c r="B22" s="175"/>
      <c r="C22" s="160"/>
      <c r="D22" s="170"/>
      <c r="E22" s="171"/>
      <c r="F22" s="87"/>
      <c r="G22" s="158"/>
    </row>
    <row r="23" spans="1:10" ht="12.75" customHeight="1" x14ac:dyDescent="0.2">
      <c r="A23" s="164"/>
      <c r="B23" s="175"/>
      <c r="C23" s="159" t="s">
        <v>78</v>
      </c>
      <c r="D23" s="169">
        <f>VLOOKUP(J21,LEDGER!$A$1:$U$18,7,FALSE)</f>
        <v>0.65</v>
      </c>
      <c r="E23" s="171"/>
      <c r="F23" s="86"/>
      <c r="G23" s="157" t="s">
        <v>97</v>
      </c>
    </row>
    <row r="24" spans="1:10" ht="16.5" customHeight="1" x14ac:dyDescent="0.2">
      <c r="A24" s="164"/>
      <c r="B24" s="175"/>
      <c r="C24" s="160"/>
      <c r="D24" s="170"/>
      <c r="E24" s="171"/>
      <c r="F24" s="87"/>
      <c r="G24" s="158"/>
    </row>
    <row r="25" spans="1:10" ht="12.75" customHeight="1" x14ac:dyDescent="0.2">
      <c r="A25" s="164"/>
      <c r="B25" s="175"/>
      <c r="C25" s="159" t="s">
        <v>98</v>
      </c>
      <c r="D25" s="169">
        <f>VLOOKUP(J21,LEDGER!$A$1:$U$18,8,FALSE)</f>
        <v>0.26</v>
      </c>
      <c r="E25" s="171"/>
      <c r="F25" s="86"/>
      <c r="G25" s="157" t="s">
        <v>99</v>
      </c>
    </row>
    <row r="26" spans="1:10" x14ac:dyDescent="0.2">
      <c r="A26" s="164"/>
      <c r="B26" s="175"/>
      <c r="C26" s="160"/>
      <c r="D26" s="170"/>
      <c r="E26" s="171"/>
      <c r="F26" s="87"/>
      <c r="G26" s="158"/>
    </row>
    <row r="27" spans="1:10" ht="12.75" customHeight="1" x14ac:dyDescent="0.2">
      <c r="A27" s="164"/>
      <c r="B27" s="175"/>
      <c r="C27" s="159" t="s">
        <v>80</v>
      </c>
      <c r="D27" s="169">
        <f>VLOOKUP(J21,LEDGER!$A$1:$U$18,9,FALSE)</f>
        <v>0.66800000000000004</v>
      </c>
      <c r="E27" s="171"/>
      <c r="F27" s="86"/>
      <c r="G27" s="157" t="s">
        <v>100</v>
      </c>
    </row>
    <row r="28" spans="1:10" x14ac:dyDescent="0.2">
      <c r="A28" s="165"/>
      <c r="B28" s="176"/>
      <c r="C28" s="160"/>
      <c r="D28" s="170"/>
      <c r="E28" s="170"/>
      <c r="F28" s="87"/>
      <c r="G28" s="158"/>
    </row>
    <row r="29" spans="1:10" ht="18.75" customHeight="1" x14ac:dyDescent="0.2">
      <c r="A29" s="157" t="s">
        <v>101</v>
      </c>
      <c r="B29" s="166" t="s">
        <v>14</v>
      </c>
      <c r="C29" s="159" t="s">
        <v>81</v>
      </c>
      <c r="D29" s="169">
        <f>VLOOKUP(J21,LEDGER!$A$1:$U$18,11,FALSE)</f>
        <v>0.76</v>
      </c>
      <c r="E29" s="169">
        <f>VLOOKUP(J21,LEDGER!$A$1:$U$18,12,FALSE)</f>
        <v>1</v>
      </c>
      <c r="F29" s="86"/>
      <c r="G29" s="157" t="s">
        <v>102</v>
      </c>
    </row>
    <row r="30" spans="1:10" ht="20.25" customHeight="1" x14ac:dyDescent="0.2">
      <c r="A30" s="158"/>
      <c r="B30" s="168"/>
      <c r="C30" s="160"/>
      <c r="D30" s="170"/>
      <c r="E30" s="170"/>
      <c r="F30" s="87"/>
      <c r="G30" s="158"/>
    </row>
    <row r="31" spans="1:10" ht="24" customHeight="1" x14ac:dyDescent="0.2">
      <c r="A31" s="163" t="s">
        <v>103</v>
      </c>
      <c r="B31" s="166" t="s">
        <v>15</v>
      </c>
      <c r="C31" s="172" t="s">
        <v>39</v>
      </c>
      <c r="D31" s="169">
        <f>VLOOKUP(J21,LEDGER!$A$1:$U$18,13,FALSE)</f>
        <v>0.80840000000000001</v>
      </c>
      <c r="E31" s="169">
        <f>VLOOKUP(J21,LEDGER!$A$1:$U$18,15,FALSE)</f>
        <v>1</v>
      </c>
      <c r="F31" s="86"/>
      <c r="G31" s="157" t="s">
        <v>104</v>
      </c>
    </row>
    <row r="32" spans="1:10" ht="25.5" customHeight="1" x14ac:dyDescent="0.2">
      <c r="A32" s="164"/>
      <c r="B32" s="167"/>
      <c r="C32" s="173"/>
      <c r="D32" s="170"/>
      <c r="E32" s="171"/>
      <c r="F32" s="87"/>
      <c r="G32" s="158"/>
    </row>
    <row r="33" spans="1:7" ht="22.5" customHeight="1" x14ac:dyDescent="0.2">
      <c r="A33" s="164"/>
      <c r="B33" s="167"/>
      <c r="C33" s="159" t="s">
        <v>42</v>
      </c>
      <c r="D33" s="169">
        <f>VLOOKUP(J21,LEDGER!$A$1:$U$18,14,FALSE)</f>
        <v>4.5800000000000007E-2</v>
      </c>
      <c r="E33" s="171"/>
      <c r="F33" s="86"/>
      <c r="G33" s="157" t="s">
        <v>105</v>
      </c>
    </row>
    <row r="34" spans="1:7" ht="27.75" customHeight="1" x14ac:dyDescent="0.2">
      <c r="A34" s="165"/>
      <c r="B34" s="168"/>
      <c r="C34" s="160"/>
      <c r="D34" s="170"/>
      <c r="E34" s="170"/>
      <c r="F34" s="87"/>
      <c r="G34" s="158"/>
    </row>
    <row r="35" spans="1:7" ht="12.75" customHeight="1" x14ac:dyDescent="0.2">
      <c r="A35" s="157" t="s">
        <v>106</v>
      </c>
      <c r="B35" s="166" t="s">
        <v>16</v>
      </c>
      <c r="C35" s="159" t="s">
        <v>82</v>
      </c>
      <c r="D35" s="169">
        <f>VLOOKUP(J21,LEDGER!$A$1:$U$18,16,FALSE)</f>
        <v>0</v>
      </c>
      <c r="E35" s="169">
        <f>VLOOKUP(J21,LEDGER!$A$1:$U$18,18,FALSE)</f>
        <v>0.65</v>
      </c>
      <c r="F35" s="86"/>
      <c r="G35" s="157" t="s">
        <v>107</v>
      </c>
    </row>
    <row r="36" spans="1:7" x14ac:dyDescent="0.2">
      <c r="A36" s="158"/>
      <c r="B36" s="168"/>
      <c r="C36" s="160"/>
      <c r="D36" s="170"/>
      <c r="E36" s="170"/>
      <c r="F36" s="87"/>
      <c r="G36" s="158"/>
    </row>
    <row r="37" spans="1:7" ht="14.25" customHeight="1" x14ac:dyDescent="0.2">
      <c r="A37" s="163" t="s">
        <v>108</v>
      </c>
      <c r="B37" s="166" t="s">
        <v>17</v>
      </c>
      <c r="C37" s="159" t="s">
        <v>47</v>
      </c>
      <c r="D37" s="169">
        <f>VLOOKUP(J21,LEDGER!$A$1:$U$18,19,FALSE)</f>
        <v>0.90349999999999997</v>
      </c>
      <c r="E37" s="169">
        <f>VLOOKUP(J21,LEDGER!$A$1:$U$18,21,FALSE)</f>
        <v>0.70842499999999997</v>
      </c>
      <c r="F37" s="86"/>
      <c r="G37" s="157" t="s">
        <v>109</v>
      </c>
    </row>
    <row r="38" spans="1:7" x14ac:dyDescent="0.2">
      <c r="A38" s="164"/>
      <c r="B38" s="167"/>
      <c r="C38" s="160"/>
      <c r="D38" s="170"/>
      <c r="E38" s="171"/>
      <c r="F38" s="87"/>
      <c r="G38" s="158"/>
    </row>
    <row r="39" spans="1:7" ht="12.75" customHeight="1" x14ac:dyDescent="0.2">
      <c r="A39" s="164"/>
      <c r="B39" s="167"/>
      <c r="C39" s="159" t="s">
        <v>40</v>
      </c>
      <c r="D39" s="161">
        <f>VLOOKUP(J21,LEDGER!$A$1:$U$18,20,FALSE)</f>
        <v>0.77675000000000005</v>
      </c>
      <c r="E39" s="171"/>
      <c r="F39" s="86"/>
      <c r="G39" s="157" t="s">
        <v>109</v>
      </c>
    </row>
    <row r="40" spans="1:7" x14ac:dyDescent="0.2">
      <c r="A40" s="165"/>
      <c r="B40" s="168"/>
      <c r="C40" s="160"/>
      <c r="D40" s="162"/>
      <c r="E40" s="170"/>
      <c r="F40" s="87"/>
      <c r="G40" s="158"/>
    </row>
    <row r="41" spans="1:7" ht="9.75" customHeight="1" x14ac:dyDescent="0.2"/>
    <row r="42" spans="1:7" x14ac:dyDescent="0.2">
      <c r="A42" s="137" t="s">
        <v>111</v>
      </c>
      <c r="B42" s="137"/>
      <c r="C42" s="137"/>
      <c r="D42" s="137"/>
      <c r="E42" s="137"/>
      <c r="F42" s="137"/>
      <c r="G42" s="137"/>
    </row>
    <row r="43" spans="1:7" ht="10.5" customHeight="1" x14ac:dyDescent="0.2">
      <c r="A43" s="137"/>
      <c r="B43" s="137"/>
      <c r="C43" s="137"/>
      <c r="D43" s="137"/>
      <c r="E43" s="137"/>
      <c r="F43" s="137"/>
      <c r="G43" s="137"/>
    </row>
    <row r="44" spans="1:7" x14ac:dyDescent="0.2">
      <c r="A44" s="137"/>
      <c r="B44" s="137"/>
      <c r="C44" s="137"/>
      <c r="D44" s="137"/>
      <c r="E44" s="137"/>
      <c r="F44" s="137"/>
      <c r="G44" s="137"/>
    </row>
    <row r="45" spans="1:7" ht="11.25" customHeight="1" x14ac:dyDescent="0.2"/>
    <row r="46" spans="1:7" x14ac:dyDescent="0.2">
      <c r="B46" s="140" t="s">
        <v>112</v>
      </c>
      <c r="C46" s="140"/>
      <c r="D46" s="140"/>
    </row>
    <row r="47" spans="1:7" ht="13.5" customHeight="1" x14ac:dyDescent="0.2">
      <c r="B47" s="88"/>
      <c r="C47" s="88"/>
      <c r="D47" s="88"/>
    </row>
    <row r="51" spans="2:7" x14ac:dyDescent="0.2">
      <c r="B51" s="141" t="s">
        <v>113</v>
      </c>
      <c r="C51" s="141"/>
      <c r="D51" s="141"/>
    </row>
    <row r="52" spans="2:7" ht="13.5" customHeight="1" x14ac:dyDescent="0.2">
      <c r="G52" s="12"/>
    </row>
    <row r="53" spans="2:7" ht="12.75" customHeight="1" x14ac:dyDescent="0.2">
      <c r="B53" s="89"/>
      <c r="C53" s="89"/>
      <c r="D53" s="89"/>
      <c r="G53" s="12"/>
    </row>
    <row r="54" spans="2:7" x14ac:dyDescent="0.2">
      <c r="G54" s="12"/>
    </row>
    <row r="55" spans="2:7" ht="12.75" customHeight="1" x14ac:dyDescent="0.2">
      <c r="G55" s="12"/>
    </row>
    <row r="56" spans="2:7" x14ac:dyDescent="0.2">
      <c r="G56" s="12"/>
    </row>
    <row r="66" spans="2:7" ht="12.75" customHeight="1" x14ac:dyDescent="0.2">
      <c r="B66" t="s">
        <v>114</v>
      </c>
      <c r="C66" s="144" t="s">
        <v>121</v>
      </c>
      <c r="D66" s="145"/>
      <c r="E66" s="145"/>
      <c r="F66" s="145"/>
      <c r="G66" s="146"/>
    </row>
    <row r="67" spans="2:7" x14ac:dyDescent="0.2">
      <c r="C67" s="147"/>
      <c r="D67" s="148"/>
      <c r="E67" s="148"/>
      <c r="F67" s="148"/>
      <c r="G67" s="149"/>
    </row>
    <row r="68" spans="2:7" x14ac:dyDescent="0.2">
      <c r="C68" s="147"/>
      <c r="D68" s="148"/>
      <c r="E68" s="148"/>
      <c r="F68" s="148"/>
      <c r="G68" s="149"/>
    </row>
    <row r="69" spans="2:7" x14ac:dyDescent="0.2">
      <c r="C69" s="147"/>
      <c r="D69" s="148"/>
      <c r="E69" s="148"/>
      <c r="F69" s="148"/>
      <c r="G69" s="149"/>
    </row>
    <row r="70" spans="2:7" x14ac:dyDescent="0.2">
      <c r="C70" s="147"/>
      <c r="D70" s="148"/>
      <c r="E70" s="148"/>
      <c r="F70" s="148"/>
      <c r="G70" s="149"/>
    </row>
    <row r="71" spans="2:7" x14ac:dyDescent="0.2">
      <c r="C71" s="147"/>
      <c r="D71" s="148"/>
      <c r="E71" s="148"/>
      <c r="F71" s="148"/>
      <c r="G71" s="149"/>
    </row>
    <row r="72" spans="2:7" x14ac:dyDescent="0.2">
      <c r="C72" s="147"/>
      <c r="D72" s="148"/>
      <c r="E72" s="148"/>
      <c r="F72" s="148"/>
      <c r="G72" s="149"/>
    </row>
    <row r="73" spans="2:7" x14ac:dyDescent="0.2">
      <c r="C73" s="147"/>
      <c r="D73" s="148"/>
      <c r="E73" s="148"/>
      <c r="F73" s="148"/>
      <c r="G73" s="149"/>
    </row>
    <row r="74" spans="2:7" x14ac:dyDescent="0.2">
      <c r="C74" s="147"/>
      <c r="D74" s="148"/>
      <c r="E74" s="148"/>
      <c r="F74" s="148"/>
      <c r="G74" s="149"/>
    </row>
    <row r="75" spans="2:7" x14ac:dyDescent="0.2">
      <c r="C75" s="147"/>
      <c r="D75" s="148"/>
      <c r="E75" s="148"/>
      <c r="F75" s="148"/>
      <c r="G75" s="149"/>
    </row>
    <row r="76" spans="2:7" x14ac:dyDescent="0.2">
      <c r="C76" s="147"/>
      <c r="D76" s="148"/>
      <c r="E76" s="148"/>
      <c r="F76" s="148"/>
      <c r="G76" s="149"/>
    </row>
    <row r="77" spans="2:7" x14ac:dyDescent="0.2">
      <c r="C77" s="147"/>
      <c r="D77" s="148"/>
      <c r="E77" s="148"/>
      <c r="F77" s="148"/>
      <c r="G77" s="149"/>
    </row>
    <row r="78" spans="2:7" x14ac:dyDescent="0.2">
      <c r="C78" s="147"/>
      <c r="D78" s="148"/>
      <c r="E78" s="148"/>
      <c r="F78" s="148"/>
      <c r="G78" s="149"/>
    </row>
    <row r="79" spans="2:7" x14ac:dyDescent="0.2">
      <c r="C79" s="147"/>
      <c r="D79" s="148"/>
      <c r="E79" s="148"/>
      <c r="F79" s="148"/>
      <c r="G79" s="149"/>
    </row>
    <row r="80" spans="2:7" x14ac:dyDescent="0.2">
      <c r="C80" s="147"/>
      <c r="D80" s="148"/>
      <c r="E80" s="148"/>
      <c r="F80" s="148"/>
      <c r="G80" s="149"/>
    </row>
    <row r="81" spans="2:7" x14ac:dyDescent="0.2">
      <c r="C81" s="147"/>
      <c r="D81" s="148"/>
      <c r="E81" s="148"/>
      <c r="F81" s="148"/>
      <c r="G81" s="149"/>
    </row>
    <row r="82" spans="2:7" x14ac:dyDescent="0.2">
      <c r="C82" s="147"/>
      <c r="D82" s="148"/>
      <c r="E82" s="148"/>
      <c r="F82" s="148"/>
      <c r="G82" s="149"/>
    </row>
    <row r="83" spans="2:7" x14ac:dyDescent="0.2">
      <c r="C83" s="147"/>
      <c r="D83" s="148"/>
      <c r="E83" s="148"/>
      <c r="F83" s="148"/>
      <c r="G83" s="149"/>
    </row>
    <row r="84" spans="2:7" x14ac:dyDescent="0.2">
      <c r="C84" s="147"/>
      <c r="D84" s="148"/>
      <c r="E84" s="148"/>
      <c r="F84" s="148"/>
      <c r="G84" s="149"/>
    </row>
    <row r="85" spans="2:7" x14ac:dyDescent="0.2">
      <c r="C85" s="147"/>
      <c r="D85" s="148"/>
      <c r="E85" s="148"/>
      <c r="F85" s="148"/>
      <c r="G85" s="149"/>
    </row>
    <row r="86" spans="2:7" x14ac:dyDescent="0.2">
      <c r="C86" s="147"/>
      <c r="D86" s="148"/>
      <c r="E86" s="148"/>
      <c r="F86" s="148"/>
      <c r="G86" s="149"/>
    </row>
    <row r="87" spans="2:7" x14ac:dyDescent="0.2">
      <c r="C87" s="147"/>
      <c r="D87" s="148"/>
      <c r="E87" s="148"/>
      <c r="F87" s="148"/>
      <c r="G87" s="149"/>
    </row>
    <row r="88" spans="2:7" x14ac:dyDescent="0.2">
      <c r="C88" s="147"/>
      <c r="D88" s="148"/>
      <c r="E88" s="148"/>
      <c r="F88" s="148"/>
      <c r="G88" s="149"/>
    </row>
    <row r="89" spans="2:7" x14ac:dyDescent="0.2">
      <c r="C89" s="147"/>
      <c r="D89" s="148"/>
      <c r="E89" s="148"/>
      <c r="F89" s="148"/>
      <c r="G89" s="149"/>
    </row>
    <row r="90" spans="2:7" x14ac:dyDescent="0.2">
      <c r="C90" s="147"/>
      <c r="D90" s="148"/>
      <c r="E90" s="148"/>
      <c r="F90" s="148"/>
      <c r="G90" s="149"/>
    </row>
    <row r="91" spans="2:7" x14ac:dyDescent="0.2">
      <c r="C91" s="147"/>
      <c r="D91" s="148"/>
      <c r="E91" s="148"/>
      <c r="F91" s="148"/>
      <c r="G91" s="149"/>
    </row>
    <row r="92" spans="2:7" x14ac:dyDescent="0.2">
      <c r="C92" s="147"/>
      <c r="D92" s="148"/>
      <c r="E92" s="148"/>
      <c r="F92" s="148"/>
      <c r="G92" s="149"/>
    </row>
    <row r="93" spans="2:7" x14ac:dyDescent="0.2">
      <c r="C93" s="150"/>
      <c r="D93" s="151"/>
      <c r="E93" s="151"/>
      <c r="F93" s="151"/>
      <c r="G93" s="152"/>
    </row>
    <row r="95" spans="2:7" x14ac:dyDescent="0.2">
      <c r="B95" s="137" t="s">
        <v>115</v>
      </c>
      <c r="C95" s="137"/>
      <c r="D95" s="137"/>
      <c r="E95" s="137"/>
      <c r="F95" s="137"/>
      <c r="G95" s="137"/>
    </row>
    <row r="96" spans="2:7" x14ac:dyDescent="0.2">
      <c r="B96" s="137"/>
      <c r="C96" s="137"/>
      <c r="D96" s="137"/>
      <c r="E96" s="137"/>
      <c r="F96" s="137"/>
      <c r="G96" s="137"/>
    </row>
    <row r="98" spans="2:4" x14ac:dyDescent="0.2">
      <c r="B98" s="138" t="s">
        <v>116</v>
      </c>
      <c r="C98" s="138"/>
    </row>
    <row r="99" spans="2:4" x14ac:dyDescent="0.2">
      <c r="B99" s="139" t="s">
        <v>117</v>
      </c>
      <c r="C99" s="139"/>
      <c r="D99" s="139"/>
    </row>
    <row r="100" spans="2:4" x14ac:dyDescent="0.2">
      <c r="B100" s="91" t="s">
        <v>118</v>
      </c>
      <c r="C100" s="92"/>
      <c r="D100" s="90"/>
    </row>
  </sheetData>
  <mergeCells count="70">
    <mergeCell ref="F17:F18"/>
    <mergeCell ref="G17:G18"/>
    <mergeCell ref="A19:A20"/>
    <mergeCell ref="B19:B20"/>
    <mergeCell ref="C19:C20"/>
    <mergeCell ref="D19:D20"/>
    <mergeCell ref="E19:E20"/>
    <mergeCell ref="F19:F20"/>
    <mergeCell ref="G19:G20"/>
    <mergeCell ref="A17:A18"/>
    <mergeCell ref="B17:B18"/>
    <mergeCell ref="C17:C18"/>
    <mergeCell ref="D17:D18"/>
    <mergeCell ref="E17:E18"/>
    <mergeCell ref="C21:C22"/>
    <mergeCell ref="D21:D22"/>
    <mergeCell ref="E21:E28"/>
    <mergeCell ref="C27:C28"/>
    <mergeCell ref="D27:D28"/>
    <mergeCell ref="G27:G28"/>
    <mergeCell ref="A29:A30"/>
    <mergeCell ref="B29:B30"/>
    <mergeCell ref="C29:C30"/>
    <mergeCell ref="D29:D30"/>
    <mergeCell ref="E29:E30"/>
    <mergeCell ref="G29:G30"/>
    <mergeCell ref="B21:B28"/>
    <mergeCell ref="G21:G22"/>
    <mergeCell ref="C23:C24"/>
    <mergeCell ref="D23:D24"/>
    <mergeCell ref="G23:G24"/>
    <mergeCell ref="C25:C26"/>
    <mergeCell ref="D25:D26"/>
    <mergeCell ref="G25:G26"/>
    <mergeCell ref="A21:A28"/>
    <mergeCell ref="C33:C34"/>
    <mergeCell ref="D33:D34"/>
    <mergeCell ref="G33:G34"/>
    <mergeCell ref="A35:A36"/>
    <mergeCell ref="B35:B36"/>
    <mergeCell ref="C35:C36"/>
    <mergeCell ref="D35:D36"/>
    <mergeCell ref="E35:E36"/>
    <mergeCell ref="G35:G36"/>
    <mergeCell ref="A31:A34"/>
    <mergeCell ref="B31:B34"/>
    <mergeCell ref="C31:C32"/>
    <mergeCell ref="D31:D32"/>
    <mergeCell ref="E31:E34"/>
    <mergeCell ref="C14:D16"/>
    <mergeCell ref="C66:G93"/>
    <mergeCell ref="F14:F16"/>
    <mergeCell ref="G14:G16"/>
    <mergeCell ref="A14:B16"/>
    <mergeCell ref="A42:G44"/>
    <mergeCell ref="G37:G38"/>
    <mergeCell ref="C39:C40"/>
    <mergeCell ref="D39:D40"/>
    <mergeCell ref="G39:G40"/>
    <mergeCell ref="A37:A40"/>
    <mergeCell ref="B37:B40"/>
    <mergeCell ref="C37:C38"/>
    <mergeCell ref="D37:D38"/>
    <mergeCell ref="E37:E40"/>
    <mergeCell ref="G31:G32"/>
    <mergeCell ref="B95:G96"/>
    <mergeCell ref="B98:C98"/>
    <mergeCell ref="B99:D99"/>
    <mergeCell ref="B46:D46"/>
    <mergeCell ref="B51:D51"/>
  </mergeCells>
  <pageMargins left="0.7" right="0.7" top="0.75" bottom="0.75" header="0.3" footer="0.3"/>
  <pageSetup paperSize="9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5" name="Spinner 2">
              <controlPr defaultSize="0" autoPict="0">
                <anchor moveWithCells="1" sizeWithCells="1">
                  <from>
                    <xdr:col>10</xdr:col>
                    <xdr:colOff>38100</xdr:colOff>
                    <xdr:row>19</xdr:row>
                    <xdr:rowOff>9525</xdr:rowOff>
                  </from>
                  <to>
                    <xdr:col>10</xdr:col>
                    <xdr:colOff>495300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RANGKING</vt:lpstr>
      <vt:lpstr>DATA</vt:lpstr>
      <vt:lpstr>LEDGER</vt:lpstr>
      <vt:lpstr>Sheet1</vt:lpstr>
      <vt:lpstr>RAPORT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Resy</cp:lastModifiedBy>
  <cp:lastPrinted>2021-05-19T02:26:11Z</cp:lastPrinted>
  <dcterms:created xsi:type="dcterms:W3CDTF">2020-12-20T01:58:05Z</dcterms:created>
  <dcterms:modified xsi:type="dcterms:W3CDTF">2021-06-28T07:36:05Z</dcterms:modified>
</cp:coreProperties>
</file>